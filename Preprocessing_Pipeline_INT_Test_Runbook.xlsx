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e-flight" sheetId="2" state="visible" r:id="rId4"/>
    <sheet name="Page Register" sheetId="3" state="visible" r:id="rId5"/>
    <sheet name="Common Checks" sheetId="4" state="visible" r:id="rId6"/>
    <sheet name="Test Cases" sheetId="5" state="visible" r:id="rId7"/>
    <sheet name="Run Log" sheetId="6" state="visible" r:id="rId8"/>
    <sheet name="Defects &amp; Observations" sheetId="7" state="visible" r:id="rId9"/>
    <sheet name="Summary" sheetId="8" state="visible" r:id="rId10"/>
  </sheets>
  <definedNames>
    <definedName function="false" hidden="true" localSheetId="4" name="_xlnm._FilterDatabase" vbProcedure="false">'Test Cases'!$A$1:$L$20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<sst xmlns="http://schemas.openxmlformats.org/spreadsheetml/2006/main" count="554" uniqueCount="448">
  <si>
    <t xml:space="preserve">HIVE Knowledge Preprocessing Pipeline – INT Incremental Update Test Runbook</t>
  </si>
  <si>
    <t xml:space="preserve">Purpose</t>
  </si>
  <si>
    <t xml:space="preserve">Step-by-step execution guide for the 16 incremental-update scenarios (Confluence: 'Incremental Update Integration Scenario Tests'). Anyone with the access below can run it: change content in Athena, trigger the pipeline, run the SQL in Spanner Studio, check GCS, record the result.</t>
  </si>
  <si>
    <t xml:space="preserve">Owner</t>
  </si>
  <si>
    <t xml:space="preserve">Vamsi (QA). Prepared 29 Sep 2026. Validate against the build deployed to INT; see sheet 'Pre-flight' before starting.</t>
  </si>
  <si>
    <t xml:space="preserve">1. Environment</t>
  </si>
  <si>
    <t xml:space="preserve">Athena (INT)</t>
  </si>
  <si>
    <t xml:space="preserve">https://lloyds-banking-test.eu1prod.expert.nicecxone.com  →  Customer Vulnerability Hub 2 › Vulnerabilities › Test Area (page_id 43599)</t>
  </si>
  <si>
    <t xml:space="preserve">Tracked root</t>
  </si>
  <si>
    <t xml:space="preserve">39960 = Customer Vulnerability Hub 2 (the Test Area sits under this root)</t>
  </si>
  <si>
    <t xml:space="preserve">GCP project</t>
  </si>
  <si>
    <t xml:space="preserve">wrk-int-wrk01-svp-dfadf4</t>
  </si>
  <si>
    <t xml:space="preserve">Spanner instance / DB</t>
  </si>
  <si>
    <t xml:space="preserve">ew2-int-wrk01-spi-ka-spanner  /  hive-int-context-layer-db</t>
  </si>
  <si>
    <t xml:space="preserve">Spanner Studio URL</t>
  </si>
  <si>
    <t xml:space="preserve">https://console.cloud.google.com/spanner/instances/ew2-int-wrk01-spi-ka-spanner/databases/hive-int-context-layer-db/details/query?project=wrk-int-wrk01-svp-dfadf4</t>
  </si>
  <si>
    <t xml:space="preserve">GCS buckets</t>
  </si>
  <si>
    <t xml:space="preserve">HTML: &lt;HTML_BUCKET&gt;   JSON: &lt;JSON_BUCKET&gt;   MD: &lt;MD_BUCKET&gt;   (fill in during Pre-flight PF-6)</t>
  </si>
  <si>
    <t xml:space="preserve">GCS object path</t>
  </si>
  <si>
    <t xml:space="preserve">&lt;FOLDER&gt;/&lt;page_id&gt;/metadata.json (JSON bucket) · &lt;FOLDER&gt;/&lt;page_id&gt;/page.md (MD bucket) · &lt;FOLDER&gt;/&lt;page_id&gt;/page.html (HTML bucket). &lt;FOLDER&gt; is recorded in PF-6.</t>
  </si>
  <si>
    <t xml:space="preserve">Job API (INT)</t>
  </si>
  <si>
    <t xml:space="preserve">&lt;INT_BASE_URL&gt;  (Bruno collection: initial-job.bru, incremental-job.bru, job-status.bru). Confirm with dev in PF-1.</t>
  </si>
  <si>
    <t xml:space="preserve">2. Golden rules</t>
  </si>
  <si>
    <t xml:space="preserve">Rule 1</t>
  </si>
  <si>
    <t xml:space="preserve">Only edit pages listed on sheet 'Page Register'. Never edit real content pages. Never touch 'QE' / 'Sanity Tests'.</t>
  </si>
  <si>
    <t xml:space="preserve">Rule 2</t>
  </si>
  <si>
    <t xml:space="preserve">Run scenarios strictly in the order of the 'Seq' column on sheet 'Test Cases'. Later scenarios depend on earlier ones (deletes and moves are last).</t>
  </si>
  <si>
    <t xml:space="preserve">Rule 3</t>
  </si>
  <si>
    <t xml:space="preserve">One scenario at a time. Do not make any other Athena edit in the Test Area until the scenario's checks are finished.</t>
  </si>
  <si>
    <t xml:space="preserve">Rule 4</t>
  </si>
  <si>
    <t xml:space="preserve">ALWAYS record T0 (CC-1) immediately before the Athena change. All 'after' queries filter on ingested_at &gt; T0.</t>
  </si>
  <si>
    <t xml:space="preserve">Rule 5</t>
  </si>
  <si>
    <t xml:space="preserve">Where a scenario says BEFORE, run that query and Export the result BEFORE touching Athena – it is your baseline for comparison.</t>
  </si>
  <si>
    <t xml:space="preserve">Rule 6</t>
  </si>
  <si>
    <t xml:space="preserve">Summary/intents are LLM-generated: check they are present and sensible, NOT that the wording is identical between runs.</t>
  </si>
  <si>
    <t xml:space="preserve">3. How to run a query in Spanner Studio</t>
  </si>
  <si>
    <t xml:space="preserve">Steps</t>
  </si>
  <si>
    <t xml:space="preserve">1) Open the Spanner Studio URL.  2) Click '+ New SQL Editor Tab'.  3) Paste the query.  4) Replace every &lt;PLACEHOLDER&gt; (e.g. &lt;T0&gt;, &lt;CHILD_C_ID&gt;) with the real value from 'Run Log' / 'Page Register'.  5) Highlight ONLY that query and click 'Run selected'.  6) Evidence: Results → Export → CSV, named &lt;CaseID&gt;_&lt;QueryLetter&gt;_&lt;before|after&gt;.csv (e.g. S02_a_after.csv), or take a screenshot.</t>
  </si>
  <si>
    <t xml:space="preserve">Timestamps</t>
  </si>
  <si>
    <t xml:space="preserve">Spanner stores UTC. Get T0 with CC-1 (SELECT CURRENT_TIMESTAMP()) and paste the exact value, e.g. TIMESTAMP('2026-10-01T09:15:02.123456Z').</t>
  </si>
  <si>
    <t xml:space="preserve">4. How to check GCS</t>
  </si>
  <si>
    <t xml:space="preserve">Console → Cloud Storage → Buckets → open bucket → in 'Filter by name prefix' type &lt;FOLDER&gt;/&lt;page_id&gt;/ → the object list shows Name, Size, 'Last modified/Updated'. Click an object → 'Object details' shows the crc32c/MD5 hash (use to prove a file is byte-identical). Use 'Download' to open metadata.json / page.md.</t>
  </si>
  <si>
    <t xml:space="preserve">5. Trigger procedure (TP) – used in every scenario</t>
  </si>
  <si>
    <t xml:space="preserve">Option A – Bruno (preferred)</t>
  </si>
  <si>
    <t xml:space="preserve">incremental-job.bru → POST &lt;INT_BASE_URL&gt;/api/v1/jobs/incremental → copy job_id from the response → job-status.bru → GET &lt;INT_BASE_URL&gt;/api/v1/jobs/&lt;job_id&gt; every ~1 min until status = SUCCESS. If FAILED: screenshot the response, stop, log a defect.</t>
  </si>
  <si>
    <t xml:space="preserve">Option B – Scheduler</t>
  </si>
  <si>
    <t xml:space="preserve">Wait for the next scheduled run (every 30 min). Allow up to 35 min.</t>
  </si>
  <si>
    <t xml:space="preserve">Confirm the run (both options)</t>
  </si>
  <si>
    <t xml:space="preserve">Run CC-2. Continue only when a new row for root 39960 with ingested_at &gt; T0 and status COMPLETED exists. NOTE: the scheduler may process your change before you trigger manually – that is fine; the checks find whichever run processed it.</t>
  </si>
  <si>
    <t xml:space="preserve">6. Status values</t>
  </si>
  <si>
    <t xml:space="preserve">Pass</t>
  </si>
  <si>
    <t xml:space="preserve">All 'What to verify' criteria met.</t>
  </si>
  <si>
    <t xml:space="preserve">Pass with observation</t>
  </si>
  <si>
    <t xml:space="preserve">Criteria met but something unexpected worth noting (log it on 'Defects &amp; Observations').</t>
  </si>
  <si>
    <t xml:space="preserve">Fail</t>
  </si>
  <si>
    <t xml:space="preserve">Any criterion not met → log on 'Defects &amp; Observations' with the query result as evidence.</t>
  </si>
  <si>
    <t xml:space="preserve">Blocked</t>
  </si>
  <si>
    <t xml:space="preserve">Could not execute (e.g. pipeline down, no dev support for S09). Write the reason in Notes.</t>
  </si>
  <si>
    <t xml:space="preserve">7. Sheets in this workbook</t>
  </si>
  <si>
    <t xml:space="preserve">Pre-flight</t>
  </si>
  <si>
    <t xml:space="preserve">Checks to run once, before any scenario. If any STOP condition is hit, do not start testing.</t>
  </si>
  <si>
    <t xml:space="preserve">Page Register</t>
  </si>
  <si>
    <t xml:space="preserve">The test pages: their IDs, the exact content to paste in Athena, and links to add. Fill the yellow cells.</t>
  </si>
  <si>
    <t xml:space="preserve">Common Checks</t>
  </si>
  <si>
    <t xml:space="preserve">Reusable queries (CC-1 … CC-8) referenced from the test cases.</t>
  </si>
  <si>
    <t xml:space="preserve">Test Cases</t>
  </si>
  <si>
    <t xml:space="preserve">The 3 setup steps + 16 scenarios, in execution order. Fill the yellow columns.</t>
  </si>
  <si>
    <t xml:space="preserve">Run Log</t>
  </si>
  <si>
    <t xml:space="preserve">One row per execution: T0, trigger, job IDs, Athena revisions.</t>
  </si>
  <si>
    <t xml:space="preserve">Defects &amp; Observations</t>
  </si>
  <si>
    <t xml:space="preserve">Pre-filled with findings from discovery on 29 Sep 2026; add new ones here.</t>
  </si>
  <si>
    <t xml:space="preserve">Summary</t>
  </si>
  <si>
    <t xml:space="preserve">Auto-counts results from 'Test Cases'.</t>
  </si>
  <si>
    <t xml:space="preserve">ID</t>
  </si>
  <si>
    <t xml:space="preserve">Check</t>
  </si>
  <si>
    <t xml:space="preserve">How / Query</t>
  </si>
  <si>
    <t xml:space="preserve">Expected</t>
  </si>
  <si>
    <t xml:space="preserve">STOP if…</t>
  </si>
  <si>
    <t xml:space="preserve">Actual</t>
  </si>
  <si>
    <t xml:space="preserve">OK? (Y/N)</t>
  </si>
  <si>
    <t xml:space="preserve">PF-1</t>
  </si>
  <si>
    <t xml:space="preserve">Dev confirms readiness</t>
  </si>
  <si>
    <t xml:space="preserve">Ask dev: (1) which build/commit is deployed to INT, (2) Liquibase migration applied to hive-int-context-layer-db, (3) is the 30-min scheduler ON or OFF, (4) &lt;INT_BASE_URL&gt; for the job APIs, (5) who can induce a controlled failure for S09.</t>
  </si>
  <si>
    <t xml:space="preserve">All 5 answered. Record in Read Me / Run Log.</t>
  </si>
  <si>
    <t xml:space="preserve">Dev has not confirmed deployment.</t>
  </si>
  <si>
    <t xml:space="preserve">PF-2</t>
  </si>
  <si>
    <t xml:space="preserve">Application tables exist</t>
  </si>
  <si>
    <t xml:space="preserve">SELECT table_name FROM information_schema.tables
WHERE table_schema = ''
ORDER BY table_name;</t>
  </si>
  <si>
    <t xml:space="preserve">Includes: job, page, page_audit, page_dependency, page_since (plus DATABASECHANGELOG*).</t>
  </si>
  <si>
    <t xml:space="preserve">'job' missing (it was missing on 29-Sep → schema not migrated).</t>
  </si>
  <si>
    <t xml:space="preserve">PF-3</t>
  </si>
  <si>
    <t xml:space="preserve">Columns match the current code</t>
  </si>
  <si>
    <t xml:space="preserve">SELECT table_name, column_name
FROM information_schema.columns
WHERE (table_name = 'page_audit' AND column_name IN ('job_type','load_type','status','has_errors','error_details'))
   OR (table_name = 'page' AND column_name IN ('draft_state','summary','primary_intents','confidence_score','source_object_name'))
ORDER BY table_name, column_name;</t>
  </si>
  <si>
    <t xml:space="preserve">Exactly 10 rows.</t>
  </si>
  <si>
    <t xml:space="preserve">Fewer than 10 rows (on 29-Sep page_audit.job_type was missing and page had is_draft instead of draft_state).</t>
  </si>
  <si>
    <t xml:space="preserve">PF-4</t>
  </si>
  <si>
    <t xml:space="preserve">Knowledge graph exists</t>
  </si>
  <si>
    <t xml:space="preserve">SELECT property_graph_name FROM information_schema.property_graphs;</t>
  </si>
  <si>
    <t xml:space="preserve">knowledge_graph</t>
  </si>
  <si>
    <t xml:space="preserve">No row.</t>
  </si>
  <si>
    <t xml:space="preserve">PF-5</t>
  </si>
  <si>
    <t xml:space="preserve">Pipeline is alive</t>
  </si>
  <si>
    <t xml:space="preserve">SELECT page_id, job_run_id, status, since_time, watermark_time, ingested_at
FROM page_since
WHERE page_id = '39960'
ORDER BY ingested_at DESC LIMIT 5;</t>
  </si>
  <si>
    <t xml:space="preserve">A COMPLETED row after the deployment date (trigger once with TP if needed).</t>
  </si>
  <si>
    <t xml:space="preserve">Latest row is older than the deployment (last seen 18-Sep-2026).</t>
  </si>
  <si>
    <t xml:space="preserve">PF-6</t>
  </si>
  <si>
    <t xml:space="preserve">GCS access + folder name</t>
  </si>
  <si>
    <t xml:space="preserve">Console → Cloud Storage → Buckets. Note the 3 bucket names (HTML / JSON / MD). Open the JSON bucket and note the top-level folder = &lt;FOLDER&gt;. Filter &lt;FOLDER&gt;/43609/ – confirm metadata.json is visible and downloadable.</t>
  </si>
  <si>
    <t xml:space="preserve">3 bucket names + &lt;FOLDER&gt; recorded in Read Me.</t>
  </si>
  <si>
    <t xml:space="preserve">No access to any bucket.</t>
  </si>
  <si>
    <t xml:space="preserve">PF-7</t>
  </si>
  <si>
    <t xml:space="preserve">Athena permissions</t>
  </si>
  <si>
    <t xml:space="preserve">In Athena Test Area confirm you can: create a page, edit, move (Options → Move), delete, and restore an older revision (Page history).</t>
  </si>
  <si>
    <t xml:space="preserve">All 5 possible.</t>
  </si>
  <si>
    <t xml:space="preserve">Cannot delete/move/restore → mark S05, S08, S10, S14 Blocked (or get a content admin).</t>
  </si>
  <si>
    <t xml:space="preserve">PF-8</t>
  </si>
  <si>
    <t xml:space="preserve">Spanner audit table is being written</t>
  </si>
  <si>
    <t xml:space="preserve">SELECT load_type, status, COUNT(*) AS n
FROM page_audit
GROUP BY load_type, status ORDER BY 1, 2;</t>
  </si>
  <si>
    <t xml:space="preserve">Rows exist after the first post-deployment run (table was EMPTY on 29-Sep).</t>
  </si>
  <si>
    <t xml:space="preserve">Still empty after a successful run → log defect (audit not written).</t>
  </si>
  <si>
    <t xml:space="preserve">Page title</t>
  </si>
  <si>
    <t xml:space="preserve">Location (parent)</t>
  </si>
  <si>
    <t xml:space="preserve">page_id</t>
  </si>
  <si>
    <t xml:space="preserve">Action in SU-2</t>
  </si>
  <si>
    <t xml:space="preserve">Body content to paste (exactly)</t>
  </si>
  <si>
    <t xml:space="preserve">Links to add (link text → target page)</t>
  </si>
  <si>
    <t xml:space="preserve">Used in</t>
  </si>
  <si>
    <t xml:space="preserve">Notes</t>
  </si>
  <si>
    <t xml:space="preserve">Test Area</t>
  </si>
  <si>
    <t xml:space="preserve">Vulnerabilities</t>
  </si>
  <si>
    <t xml:space="preserve">43599</t>
  </si>
  <si>
    <t xml:space="preserve">No change</t>
  </si>
  <si>
    <t xml:space="preserve">(leave as is)</t>
  </si>
  <si>
    <t xml:space="preserve">(subpage links are automatic)</t>
  </si>
  <si>
    <t xml:space="preserve">All</t>
  </si>
  <si>
    <t xml:space="preserve">Root of the test area.</t>
  </si>
  <si>
    <t xml:space="preserve">Parent A</t>
  </si>
  <si>
    <t xml:space="preserve">43601</t>
  </si>
  <si>
    <t xml:space="preserve">Edit body</t>
  </si>
  <si>
    <t xml:space="preserve">QA-ZX91 Parent A. Test content for preprocessing pipeline testing only – not real guidance.
## Overview
This section groups QA test pages for the incremental update tests.</t>
  </si>
  <si>
    <t xml:space="preserve">'Child AA' → Child AA
'Link target' → QA Link Target S14</t>
  </si>
  <si>
    <t xml:space="preserve">S04, S10, S14</t>
  </si>
  <si>
    <t xml:space="preserve">Navigation page.</t>
  </si>
  <si>
    <t xml:space="preserve">Parent B</t>
  </si>
  <si>
    <t xml:space="preserve">43603</t>
  </si>
  <si>
    <t xml:space="preserve">QA-ZX91 Parent B. Test content for preprocessing pipeline testing only – not real guidance.
## Overview
This section holds the child pages used for update tests.</t>
  </si>
  <si>
    <t xml:space="preserve">'Child B' → Child B</t>
  </si>
  <si>
    <t xml:space="preserve">S08, S10, S15</t>
  </si>
  <si>
    <t xml:space="preserve">Child AA</t>
  </si>
  <si>
    <t xml:space="preserve">43609</t>
  </si>
  <si>
    <t xml:space="preserve">QA-ZX91 Child AA procedure. Test content only – not real guidance.
## Step 1
The colleague opens the QA test record and checks the reference.
## Step 2
The colleague follows the next steps described in Child B and Child C.</t>
  </si>
  <si>
    <t xml:space="preserve">'Child B' → Child B
'Child C' → Child C
'External Support' → External Support (real page)
'Example site' → https://example.com/qa-zx91</t>
  </si>
  <si>
    <t xml:space="preserve">S02, S03, S04</t>
  </si>
  <si>
    <t xml:space="preserve">Spanner (29-Sep) still shows it under Parent_A – SU-3 verifies it moves to Parent_B.</t>
  </si>
  <si>
    <t xml:space="preserve">Child B</t>
  </si>
  <si>
    <t xml:space="preserve">43607</t>
  </si>
  <si>
    <t xml:space="preserve">QA-ZX91 Child B reference. Test content only – not real guidance.
## Details
Reference information for the QA test record.</t>
  </si>
  <si>
    <t xml:space="preserve">(none)</t>
  </si>
  <si>
    <t xml:space="preserve">S06, S09, S11, S16</t>
  </si>
  <si>
    <t xml:space="preserve">Child C</t>
  </si>
  <si>
    <t xml:space="preserve">&lt;CHILD_C_ID&gt;</t>
  </si>
  <si>
    <t xml:space="preserve">QA-ZX91 Child C reference. Test content only – not real guidance.
## Details
Additional reference information for the QA test record.</t>
  </si>
  <si>
    <t xml:space="preserve">S07, S10</t>
  </si>
  <si>
    <t xml:space="preserve">Not yet in Spanner on 29-Sep. Get ID in SU-3.</t>
  </si>
  <si>
    <t xml:space="preserve">QA Delete Me S5</t>
  </si>
  <si>
    <t xml:space="preserve">&lt;S5_ID&gt;</t>
  </si>
  <si>
    <t xml:space="preserve">CREATE</t>
  </si>
  <si>
    <t xml:space="preserve">QA-ZX91 page to be deleted in scenario S5. Test content only.
## Details
This page will be removed.</t>
  </si>
  <si>
    <t xml:space="preserve">S05</t>
  </si>
  <si>
    <t xml:space="preserve">QA Link Target S14</t>
  </si>
  <si>
    <t xml:space="preserve">&lt;S14_ID&gt;</t>
  </si>
  <si>
    <t xml:space="preserve">QA-ZX91 link target – will be deleted in scenario S14. Test content only.
## Details
This page is linked from Parent A.</t>
  </si>
  <si>
    <t xml:space="preserve">S14</t>
  </si>
  <si>
    <t xml:space="preserve">Parent A links TO this page.</t>
  </si>
  <si>
    <t xml:space="preserve">QA Multi-Link S15</t>
  </si>
  <si>
    <t xml:space="preserve">&lt;S15_ID&gt;</t>
  </si>
  <si>
    <t xml:space="preserve">QA-ZX91 multi-dependency test page. Test content only.
## Related pages
See the linked pages below.</t>
  </si>
  <si>
    <t xml:space="preserve">'Child AA' → Child AA
'Child B' → Child B
'Child C' → Child C</t>
  </si>
  <si>
    <t xml:space="preserve">S15</t>
  </si>
  <si>
    <t xml:space="preserve">QA New Page S1</t>
  </si>
  <si>
    <t xml:space="preserve">&lt;S1_ID&gt;</t>
  </si>
  <si>
    <t xml:space="preserve">Do NOT create in SU-2 (created during S01)</t>
  </si>
  <si>
    <t xml:space="preserve">QA-ZX91 New Page S1. Test content only – not real guidance.
## Overview
This page was created to test new-page detection.</t>
  </si>
  <si>
    <t xml:space="preserve">S01</t>
  </si>
  <si>
    <t xml:space="preserve">External Support (REAL page)</t>
  </si>
  <si>
    <t xml:space="preserve">&lt;REAL_ID&gt;</t>
  </si>
  <si>
    <t xml:space="preserve">READ ONLY – never edit</t>
  </si>
  <si>
    <t xml:space="preserve">(real content – do not edit)</t>
  </si>
  <si>
    <t xml:space="preserve">-</t>
  </si>
  <si>
    <t xml:space="preserve">Link target</t>
  </si>
  <si>
    <t xml:space="preserve">ID from SU-3 query (d).</t>
  </si>
  <si>
    <t xml:space="preserve">Child A</t>
  </si>
  <si>
    <t xml:space="preserve">(in Spanner under Parent_A)</t>
  </si>
  <si>
    <t xml:space="preserve">43605</t>
  </si>
  <si>
    <t xml:space="preserve">Do not recreate</t>
  </si>
  <si>
    <t xml:space="preserve">SU-3</t>
  </si>
  <si>
    <t xml:space="preserve">In Spanner (29-Sep) but not visible in Athena – SU-3 checks it is removed if deleted.</t>
  </si>
  <si>
    <t xml:space="preserve">QE / Sanity Tests</t>
  </si>
  <si>
    <t xml:space="preserve">DO NOT TOUCH</t>
  </si>
  <si>
    <t xml:space="preserve">Owned by someone else / out of scope.</t>
  </si>
  <si>
    <t xml:space="preserve">Query</t>
  </si>
  <si>
    <t xml:space="preserve">Expected / how to read</t>
  </si>
  <si>
    <t xml:space="preserve">CC-1</t>
  </si>
  <si>
    <t xml:space="preserve">Record T0 (start time, UTC)</t>
  </si>
  <si>
    <t xml:space="preserve">SELECT CURRENT_TIMESTAMP() AS t0;</t>
  </si>
  <si>
    <t xml:space="preserve">Copy the value into Run Log → T0. Use it as &lt;T0&gt; in the scenario queries.</t>
  </si>
  <si>
    <t xml:space="preserve">CC-2</t>
  </si>
  <si>
    <t xml:space="preserve">Confirm a pipeline run happened after T0</t>
  </si>
  <si>
    <t xml:space="preserve">SELECT page_id, job_run_id, status, since_time, watermark_time, ingested_at
FROM page_since
WHERE page_id = '39960'
  AND ingested_at &gt; TIMESTAMP('&lt;T0&gt;')
ORDER BY ingested_at DESC;</t>
  </si>
  <si>
    <t xml:space="preserve">≥ 1 row, status = COMPLETED. Copy job_run_id into Run Log. 0 rows = run not finished yet (wait / re-trigger).</t>
  </si>
  <si>
    <t xml:space="preserve">CC-3</t>
  </si>
  <si>
    <t xml:space="preserve">Snapshot of all Test Area pages</t>
  </si>
  <si>
    <t xml:space="preserve">SELECT page_id, title, page_type, revision, path, content_size, date_modified, ingested_at
FROM page
WHERE path LIKE 'Customer_Vulnerability_Hub_2/Vulnerabilities/Test_Area%'
ORDER BY path;</t>
  </si>
  <si>
    <t xml:space="preserve">Use for before/after comparisons. Export as CSV.</t>
  </si>
  <si>
    <t xml:space="preserve">CC-4</t>
  </si>
  <si>
    <t xml:space="preserve">Snapshot of all Test Area links</t>
  </si>
  <si>
    <t xml:space="preserve">SELECT d.page_id, d.dependency_page_id, d.type, d.relationship_label, d.relationship_confidence, d.is_broken, d.href
FROM page_dependency d
JOIN page p ON p.page_id = d.page_id
WHERE p.path LIKE 'Customer_Vulnerability_Hub_2/Vulnerabilities/Test_Area%'
ORDER BY d.page_id, d.dependency_page_id;</t>
  </si>
  <si>
    <t xml:space="preserve">Use for before/after comparisons. External links point to dependency_page_id = '00000'.</t>
  </si>
  <si>
    <t xml:space="preserve">CC-5</t>
  </si>
  <si>
    <t xml:space="preserve">Audit rows since T0 (Test Area)</t>
  </si>
  <si>
    <t xml:space="preserve">SELECT a.page_id, a.job_run_id, a.job_type, a.load_type, a.status, a.has_errors, a.error_details, a.revision, a.ingested_at
FROM page_audit a
WHERE a.page_id IN (SELECT page_id FROM page WHERE path LIKE 'Customer_Vulnerability_Hub_2/Vulnerabilities/Test_Area%')
  AND a.ingested_at &gt; TIMESTAMP('&lt;T0&gt;')
ORDER BY a.ingested_at;</t>
  </si>
  <si>
    <t xml:space="preserve">Changed pages show status 'completed' (possibly after 'in_progress'). No 'failed' unless the scenario expects it. NOTE: deleted pages are not in 'page' – query their page_id directly.</t>
  </si>
  <si>
    <t xml:space="preserve">CC-6</t>
  </si>
  <si>
    <t xml:space="preserve">Dangling links (target page does not exist)</t>
  </si>
  <si>
    <t xml:space="preserve">SELECT d.page_id, d.dependency_page_id, d.type, d.is_broken, d.href
FROM page_dependency d
LEFT JOIN page t ON t.page_id = d.dependency_page_id
WHERE d.page_id IN (SELECT page_id FROM page WHERE path LIKE 'Customer_Vulnerability_Hub_2/Vulnerabilities/Test_Area%')
  AND t.page_id IS NULL;</t>
  </si>
  <si>
    <t xml:space="preserve">0 rows. Any row must at least have is_broken = TRUE, otherwise it is a stale relationship → defect.</t>
  </si>
  <si>
    <t xml:space="preserve">CC-7</t>
  </si>
  <si>
    <t xml:space="preserve">Duplicate links</t>
  </si>
  <si>
    <t xml:space="preserve">SELECT d.page_id, d.dependency_page_id, d.type, COUNT(*) AS n
FROM page_dependency d
WHERE d.page_id IN (SELECT page_id FROM page WHERE path LIKE 'Customer_Vulnerability_Hub_2/Vulnerabilities/Test_Area%')
GROUP BY d.page_id, d.dependency_page_id, d.type
HAVING COUNT(*) &gt; 1;</t>
  </si>
  <si>
    <t xml:space="preserve">0 rows. If rows appear, compare href: the same target linked from two different sections is allowed; identical duplicates are a defect.</t>
  </si>
  <si>
    <t xml:space="preserve">CC-8</t>
  </si>
  <si>
    <t xml:space="preserve">Graph view agrees with the tables (optional)</t>
  </si>
  <si>
    <t xml:space="preserve">GRAPH knowledge_graph
MATCH (p:Page)-[d:DependsOn]-&gt;(t:Page)
WHERE p.page_id = '&lt;PAGE_ID&gt;'
RETURN t.page_id, t.title, d.type, d.relationship_label;</t>
  </si>
  <si>
    <t xml:space="preserve">Same targets as the page_dependency query for that page.</t>
  </si>
  <si>
    <t xml:space="preserve">Seq</t>
  </si>
  <si>
    <t xml:space="preserve">Case ID</t>
  </si>
  <si>
    <t xml:space="preserve">Scenario (what &amp; why)</t>
  </si>
  <si>
    <t xml:space="preserve">Athena action – step by step</t>
  </si>
  <si>
    <t xml:space="preserve">What is tested (expected outcome)</t>
  </si>
  <si>
    <t xml:space="preserve">Queries to execute (Spanner Studio)</t>
  </si>
  <si>
    <t xml:space="preserve">What to verify (pass criteria per query)</t>
  </si>
  <si>
    <t xml:space="preserve">GCS check</t>
  </si>
  <si>
    <t xml:space="preserve">Actual result</t>
  </si>
  <si>
    <t xml:space="preserve">Status</t>
  </si>
  <si>
    <t xml:space="preserve">Evidence (file names)</t>
  </si>
  <si>
    <t xml:space="preserve">Known risk / dev note</t>
  </si>
  <si>
    <t xml:space="preserve">SU-1</t>
  </si>
  <si>
    <t xml:space="preserve">Pre-flight (once)</t>
  </si>
  <si>
    <t xml:space="preserve">Run every check on sheet 'Pre-flight'.</t>
  </si>
  <si>
    <t xml:space="preserve">Environment is ready: new build deployed, schema migrated, pipeline running, access OK.</t>
  </si>
  <si>
    <t xml:space="preserve">See sheet 'Pre-flight' (PF-1 … PF-8).</t>
  </si>
  <si>
    <t xml:space="preserve">All PF checks OK. Any STOP condition → do not continue; report to dev.</t>
  </si>
  <si>
    <t xml:space="preserve">Not run</t>
  </si>
  <si>
    <t xml:space="preserve">SU-2</t>
  </si>
  <si>
    <t xml:space="preserve">Build the test content in Athena (once)</t>
  </si>
  <si>
    <t xml:space="preserve">1. Run CC-1, record T0 in Run Log (row SU-2).
2. Open Test Area. Confirm the tree: Parent A; Parent B → Child AA, Child B, Child C.
3. For each page on 'Page Register' with Action 'Edit body': Edit → replace body with the text given → add the links given (use Athena's link tool for internal pages) → Save/Publish.
4. Create the 3 pages marked CREATE under Parent A (New → page), paste body + links → Publish.
5. Add the Parent A links last (they point to QA Link Target S14).
6. Do NOT create 'QA New Page S1' yet. Do not touch QE / Sanity Tests.</t>
  </si>
  <si>
    <t xml:space="preserve">Content ready for all scenarios.</t>
  </si>
  <si>
    <t xml:space="preserve">(none – Athena only)</t>
  </si>
  <si>
    <t xml:space="preserve">All pages on 'Page Register' exist in Athena with the exact content and links.</t>
  </si>
  <si>
    <t xml:space="preserve">Baseline run + snapshot (once)</t>
  </si>
  <si>
    <t xml:space="preserve">1. No Athena changes.
2. Trigger (Read Me §5) and wait for CC-2 to show a COMPLETED run after the SU-2 T0.</t>
  </si>
  <si>
    <t xml:space="preserve">Pipeline picks up everything done in SU-2 and the earlier Athena changes (Child AA moved to Parent B, Child C / new pages created, Child A removed). This baseline is what every scenario compares against.</t>
  </si>
  <si>
    <t xml:space="preserve">(a) CC-2 with T0 from SU-2.
(b) Page IDs:
SELECT page_id, title, page_type, revision, path, summary IS NOT NULL AS has_summary, ingested_at
FROM page
WHERE path LIKE 'Customer_Vulnerability_Hub_2/Vulnerabilities/Test_Area%'
ORDER BY path;
(c) CC-4 (links snapshot).
(d) Real link target ID:
SELECT page_id, title, path FROM page
WHERE title = 'External Support' AND path LIKE 'Customer_Vulnerability_Hub_2%';
(e) Is Child A gone?
SELECT page_id, title, path FROM page WHERE page_id = '43605';
(f) CC-6 and CC-7.</t>
  </si>
  <si>
    <t xml:space="preserve">(a) COMPLETED run.
(b) One row per Page Register page (except QA New Page S1). Child AA path ends /Parent_B/Child_AA; Child C, QA Delete Me S5, QA Link Target S14, QA Multi-Link S15 present; has_summary = true for all non-navigation pages. → Copy IDs into Page Register (yellow cells).
(c) Links as per Page Register, plus type 'subpage' rows parent → child. Export as SU3_links_baseline.csv.
(d) Copy page_id into Page Register &lt;REAL_ID&gt;.
(e) 0 rows if Child A was deleted in Athena (if still present → log observation: deleted page not purged).
(f) 0 rows.
Export (b) as SU3_pages_baseline.csv.</t>
  </si>
  <si>
    <t xml:space="preserve">For 43609 and each new page: metadata.json, page.md, page.html exist under &lt;FOLDER&gt;/&lt;page_id&gt;/.</t>
  </si>
  <si>
    <t xml:space="preserve">This first run already exercises S01 (new pages), S05 (Child A delete) and S10 (Child AA move). Record any mismatch.</t>
  </si>
  <si>
    <t xml:space="preserve">S12</t>
  </si>
  <si>
    <t xml:space="preserve">Pipeline triggered when there are NO Athena changes</t>
  </si>
  <si>
    <t xml:space="preserve">1. Make NO changes in Athena.
2. Run CC-1 → T0.
3. Trigger (TP) and confirm with CC-2.</t>
  </si>
  <si>
    <t xml:space="preserve">Nothing in the Test Area is reprocessed: no page/link changes, no duplicates, GCS untouched, watermark still advances.</t>
  </si>
  <si>
    <t xml:space="preserve">(a) CC-2.
(b) SELECT page_id, revision, ingested_at FROM page
WHERE path LIKE 'Customer_Vulnerability_Hub_2/Vulnerabilities/Test_Area%'
  AND ingested_at &gt; TIMESTAMP('&lt;T0&gt;');
(c) CC-5.
(d) CC-7.</t>
  </si>
  <si>
    <t xml:space="preserve">(a) ≥1 COMPLETED row (run happened, nothing to do).
(b) 0 rows.
(c) 0 rows.
(d) 0 rows.</t>
  </si>
  <si>
    <t xml:space="preserve">Child AA (43609) objects: 'Updated' time is BEFORE T0.</t>
  </si>
  <si>
    <t xml:space="preserve">S13</t>
  </si>
  <si>
    <t xml:space="preserve">Same page processed repeatedly (idempotency)</t>
  </si>
  <si>
    <t xml:space="preserve">1. No Athena changes.
2. CC-1 → T0.
3. Trigger incremental again (2nd consecutive no-change run).
4. OPTIONAL, only with dev approval: force reprocessing of the root via initial-job.bru with body {"root_page_ids": ["39960"]} (re-tags ALL Hub 2 pages – cost/time).</t>
  </si>
  <si>
    <t xml:space="preserve">Repeated processing leaves identical state: one row per page, same link set, no extra GCS files, metadata still valid.</t>
  </si>
  <si>
    <t xml:space="preserve">(a) SELECT page_id, COUNT(*) AS n FROM page
WHERE path LIKE 'Customer_Vulnerability_Hub_2/Vulnerabilities/Test_Area%'
GROUP BY page_id HAVING COUNT(*) &gt; 1;
(b) SELECT d.page_id, COUNT(*) AS links
FROM page_dependency d JOIN page p ON p.page_id = d.page_id
WHERE p.path LIKE 'Customer_Vulnerability_Hub_2/Vulnerabilities/Test_Area%'
GROUP BY d.page_id ORDER BY d.page_id;
(c) CC-7.
(d) SELECT page_id, title, revision, summary IS NOT NULL AS has_summary, ARRAY_LENGTH(primary_intents) AS n_intents, confidence_score
FROM page WHERE path LIKE 'Customer_Vulnerability_Hub_2/Vulnerabilities/Test_Area%' ORDER BY page_id;</t>
  </si>
  <si>
    <t xml:space="preserve">(a) 0 rows.
(b) Link count per page = SU-3 baseline (SU3_links_baseline.csv).
(c) 0 rows.
(d) Revisions = baseline; has_summary true; confidence_score between 0 and 1. If step 4 was run, summary wording may differ slightly (LLM) – NOT a defect; empty/NULL is.</t>
  </si>
  <si>
    <t xml:space="preserve">Each Test Area page folder contains exactly 3 objects (metadata.json, page.md, page.html) – no extra/old files.</t>
  </si>
  <si>
    <t xml:space="preserve">S11</t>
  </si>
  <si>
    <t xml:space="preserve">No-op change (revision ≤ stored revision)</t>
  </si>
  <si>
    <t xml:space="preserve">1. CC-1 → T0.
2. Open Child B → Page history: note current revision R0 (Run Log).
3. Edit → Save WITHOUT changing anything.
4. Page history again: note if a new revision R1 was created (Run Log).
5. Trigger (TP).</t>
  </si>
  <si>
    <t xml:space="preserve">If Athena did not create a new revision, the pipeline does nothing for Child B.</t>
  </si>
  <si>
    <t xml:space="preserve">(a) SELECT page_id, revision, content_size, ingested_at FROM page WHERE page_id = '43607';
(b) SELECT page_id, job_run_id, job_type, load_type, status, has_errors, error_details, revision, ingested_at
FROM page_audit
WHERE page_id IN ('43607')
  AND ingested_at &gt; TIMESTAMP('&lt;T0&gt;')
ORDER BY ingested_at;</t>
  </si>
  <si>
    <t xml:space="preserve">If NO new Athena revision: (a) revision = R0 and ingested_at &lt; T0; (b) 0 rows → PASS.
If Athena DID create R1: pipeline is expected to reprocess ((a) revision = R1, (b) 'completed' rows) → 'Pass with observation: Athena bumps revision on a no-change save'.
Anything else (e.g. failed rows) → FAIL.</t>
  </si>
  <si>
    <t xml:space="preserve">Child B objects: Updated before T0 (no new revision case).</t>
  </si>
  <si>
    <t xml:space="preserve">Code skips a page when stored revision ≥ Athena revision.</t>
  </si>
  <si>
    <t xml:space="preserve">New page created under a tracked root</t>
  </si>
  <si>
    <t xml:space="preserve">1. CC-1 → T0.
2. Parent A → New → page. Title: QA New Page S1.
3. Paste body from Page Register; add link 'Child B' → Child B. Publish.
4. Note its page_id (Athena page info, or query (a)) in Page Register &lt;S1_ID&gt;.
5. Trigger (TP).</t>
  </si>
  <si>
    <t xml:space="preserve">Detected as new, fetched, tagged; new page row; metadata populated; link rows incl. parent (subpage) link; 3 GCS files; audit rows.</t>
  </si>
  <si>
    <t xml:space="preserve">(a) SELECT page_id, title, page_type, revision, path, content_size, deleted, unpublished, summary,
       ARRAY_LENGTH(primary_intents) AS n_intents, confidence_score, source_object_name, ingested_at
FROM page WHERE title = 'QA New Page S1';
(b) SELECT page_id, dependency_page_id, type, relationship_label, relationship_confidence, is_broken, href
FROM page_dependency
WHERE page_id = '&lt;S1_ID&gt;' OR dependency_page_id = '&lt;S1_ID&gt;';
(c) SELECT page_id, job_run_id, job_type, load_type, status, has_errors, error_details, revision, ingested_at
FROM page_audit
WHERE page_id IN ('&lt;S1_ID&gt;', '43601')
  AND ingested_at &gt; TIMESTAMP('&lt;T0&gt;')
ORDER BY ingested_at;
(d) CC-2.</t>
  </si>
  <si>
    <t xml:space="preserve">(a) Exactly 1 row; path ends /Test_Area/Parent_A/QA_New_Page_S1 (or Athena's URL for it); revision = Athena revision; summary not empty; n_intents ≥ 1; 0 ≤ confidence_score ≤ 1; deleted = false; unpublished = false; ingested_at &gt; T0.
(b) Row &lt;S1_ID&gt; → 43607, type 'internal', relationship_label one of: escalation, next_step, prerequisite, conditional_guidance, procedural_guidance; confidence 0–1; is_broken = false.  Row 43601 → &lt;S1_ID&gt;, type 'subpage'.
(c) 'completed' rows for &lt;S1_ID&gt;; no 'failed'.
(d) New COMPLETED row.</t>
  </si>
  <si>
    <t xml:space="preserve">JSON: &lt;FOLDER&gt;/&lt;S1_ID&gt;/metadata.json · MD: &lt;FOLDER&gt;/&lt;S1_ID&gt;/page.md · HTML: &lt;FOLDER&gt;/&lt;S1_ID&gt;/page.html all exist. Download metadata.json → title = 'QA New Page S1'.</t>
  </si>
  <si>
    <t xml:space="preserve">'Local output_{page_id} files' in Confluence = local run only; N/A on INT.</t>
  </si>
  <si>
    <t xml:space="preserve">S02</t>
  </si>
  <si>
    <t xml:space="preserve">Existing page content updated (body text changed)</t>
  </si>
  <si>
    <t xml:space="preserve">1. BEFORE: run query (a), export S02_a_before.csv.
2. CC-1 → T0.
3. Edit Child AA → change the 'Step 1' sentence to:
   QA-ZX91 Step 1 UPDATED for S2: the colleague must record the test reference number.
   Save/Publish. Note new Athena revision.
4. Trigger (TP).</t>
  </si>
  <si>
    <t xml:space="preserve">Same row upserted (no duplicate); content_size, revision, date_modified changed; tags/summary refreshed; GCS files overwritten; audit entry.</t>
  </si>
  <si>
    <t xml:space="preserve">(a) SELECT page_id, title, revision, content_size, date_modified, summary, primary_intents, ingested_at
FROM page WHERE page_id = '43609';
(b) SELECT COUNT(*) AS n FROM page WHERE page_id = '43609';
(c) SELECT dependency_page_id, type, relationship_label FROM page_dependency
WHERE page_id = '43609' ORDER BY dependency_page_id;
(d) SELECT page_id, job_run_id, job_type, load_type, status, has_errors, error_details, revision, ingested_at
FROM page_audit
WHERE page_id IN ('43609')
  AND ingested_at &gt; TIMESTAMP('&lt;T0&gt;')
ORDER BY ingested_at;</t>
  </si>
  <si>
    <t xml:space="preserve">(a) vs before: revision higher (= Athena); content_size different; date_modified newer; summary present (refreshed); ingested_at &gt; T0.
(b) n = 1.
(c) Same targets as in SU-3 baseline for 43609 (Child B, Child C, External Support, '00000').
(d) 'completed'; no 'failed'.</t>
  </si>
  <si>
    <t xml:space="preserve">43609 page.md and metadata.json 'Updated' after T0; download page.md → contains 'UPDATED for S2'.</t>
  </si>
  <si>
    <t xml:space="preserve">S03</t>
  </si>
  <si>
    <t xml:space="preserve">Existing page updated – a link removed</t>
  </si>
  <si>
    <t xml:space="preserve">1. BEFORE: run (a), export S03_a_before.csv.
2. CC-1 → T0.
3. Edit Child AA → delete the 'Child C' link (and its text). Save/Publish.
4. Trigger (TP).</t>
  </si>
  <si>
    <t xml:space="preserve">Page updated; the removed link's page_dependency row is GONE; metadata.json no longer lists it.</t>
  </si>
  <si>
    <t xml:space="preserve">(a) SELECT dependency_page_id, type, relationship_label, href, is_broken
FROM page_dependency WHERE page_id = '43609' ORDER BY dependency_page_id;
(b) SELECT COUNT(*) AS stale FROM page_dependency
WHERE page_id = '43609' AND dependency_page_id = '&lt;CHILD_C_ID&gt;';
(c) SELECT revision, ingested_at FROM page WHERE page_id = '43609';
(d) SELECT page_id, job_run_id, job_type, load_type, status, has_errors, error_details, revision, ingested_at
FROM page_audit
WHERE page_id IN ('43609')
  AND ingested_at &gt; TIMESTAMP('&lt;T0&gt;')
ORDER BY ingested_at;</t>
  </si>
  <si>
    <t xml:space="preserve">(a) Still contains Child B, External Support, '00000'; no Child C.
(b) stale = 0.  If 1 → FAIL: stale dependency (known risk).
(c) revision higher; ingested_at &gt; T0.
(d) 'completed'.</t>
  </si>
  <si>
    <t xml:space="preserve">43609 metadata.json Updated after T0; search it for '&lt;CHILD_C_ID&gt;' → not in relationship list.</t>
  </si>
  <si>
    <t xml:space="preserve">Known risk: link PK = (page_id, dependency_page_id, type, href) with insert_or_update only – old rows may survive.</t>
  </si>
  <si>
    <t xml:space="preserve">S04</t>
  </si>
  <si>
    <t xml:space="preserve">Existing page updated – a new link added</t>
  </si>
  <si>
    <t xml:space="preserve">1. BEFORE: run (b), note the count.
2. CC-1 → T0.
3. Edit Child AA → add sentence 'Go to Parent A' with a link to Parent A. Save/Publish.
4. Trigger (TP).</t>
  </si>
  <si>
    <t xml:space="preserve">New page_dependency row for the new target; page updated; metadata.json lists new link; audit entry.</t>
  </si>
  <si>
    <t xml:space="preserve">(a) SELECT dependency_page_id, type, relationship_label, relationship_confidence, relationship_reasoning, text, href, is_broken
FROM page_dependency WHERE page_id = '43609' AND dependency_page_id = '43601';
(b) SELECT COUNT(*) AS links FROM page_dependency WHERE page_id = '43609';
(c) SELECT page_id, job_run_id, job_type, load_type, status, has_errors, error_details, revision, ingested_at
FROM page_audit
WHERE page_id IN ('43609')
  AND ingested_at &gt; TIMESTAMP('&lt;T0&gt;')
ORDER BY ingested_at;</t>
  </si>
  <si>
    <t xml:space="preserve">(a) Exactly 1 row; type 'internal'; relationship_label one of: escalation, next_step, prerequisite, conditional_guidance, procedural_guidance; confidence 0–1; reasoning not empty; is_broken = false.
(b) = before + 1.
(c) 'completed'.</t>
  </si>
  <si>
    <t xml:space="preserve">43609 metadata.json Updated after T0 and contains 43601.</t>
  </si>
  <si>
    <t xml:space="preserve">S06</t>
  </si>
  <si>
    <t xml:space="preserve">Metadata-only change (title only, no body change)</t>
  </si>
  <si>
    <t xml:space="preserve">1. BEFORE: run (a) + (b), export. In GCS note crc32c hash of Child B page.md and page.html (Object details).
2. CC-1 → T0.
3. Rename Child B title to: Child B Renamed QA-ZX91 (do NOT edit the body). Save.
4. Trigger (TP).</t>
  </si>
  <si>
    <t xml:space="preserve">Metadata columns update, content_size unchanged, links unchanged, page.md/page.html byte-identical, metadata.json updated. Check whether summary/tags churn unnecessarily.</t>
  </si>
  <si>
    <t xml:space="preserve">(a) SELECT page_id, title, path, revision, content_size, date_modified, summary, ingested_at FROM page WHERE page_id = '43607';
(b) SELECT dependency_page_id, type FROM page_dependency WHERE page_id = '43607';
(c) Inbound links still valid:
SELECT page_id, dependency_page_id, type, href, is_broken, is_redirect
FROM page_dependency WHERE dependency_page_id = '43607';
(d) SELECT page_id, job_run_id, job_type, load_type, status, has_errors, error_details, revision, ingested_at
FROM page_audit
WHERE page_id IN ('43607')
  AND ingested_at &gt; TIMESTAMP('&lt;T0&gt;')
ORDER BY ingested_at;</t>
  </si>
  <si>
    <t xml:space="preserve">(a) title = 'Child B Renamed QA-ZX91'; revision higher; content_size = before (if different, record – title may be inside the content); record whether path changed and whether summary changed.
(b) Same as before.
(c) Rows from Child AA, Child C, Parent B still point to 43607 with is_broken = false (record is_redirect).
(d) 'completed'.</t>
  </si>
  <si>
    <t xml:space="preserve">page.md / page.html crc32c = before (byte-identical). If different, record. metadata.json Updated after T0 with new title.</t>
  </si>
  <si>
    <t xml:space="preserve">No partial re-tag path in code: re-tag always runs.</t>
  </si>
  <si>
    <t xml:space="preserve">Page containing multiple dependencies updated</t>
  </si>
  <si>
    <t xml:space="preserve">1. BEFORE: run (a), export (expect Child AA 43609, Child B 43607, Child C).
2. CC-1 → T0.
3. Edit QA Multi-Link S15: REMOVE link to Child AA, KEEP Child B and Child C, ADD link 'Parent B' → Parent B. Save.
4. Trigger (TP).</t>
  </si>
  <si>
    <t xml:space="preserve">Existing dependency retained (no duplicate), removed one gone, new one created; metadata.json = current set.</t>
  </si>
  <si>
    <t xml:space="preserve">(a) SELECT dependency_page_id, type, relationship_label, href, is_broken
FROM page_dependency WHERE page_id = '&lt;S15_ID&gt;' ORDER BY dependency_page_id;
(b) SELECT dependency_page_id, COUNT(*) AS n FROM page_dependency
WHERE page_id = '&lt;S15_ID&gt;' GROUP BY dependency_page_id HAVING COUNT(*) &gt; 1;
(c) SELECT page_id, job_run_id, job_type, load_type, status, has_errors, error_details, revision, ingested_at
FROM page_audit
WHERE page_id IN ('&lt;S15_ID&gt;')
  AND ingested_at &gt; TIMESTAMP('&lt;T0&gt;')
ORDER BY ingested_at;</t>
  </si>
  <si>
    <t xml:space="preserve">(a) Contains 43607, &lt;CHILD_C_ID&gt;, 43603; does NOT contain 43609 (if present → FAIL: stale dependency).
(b) 0 rows.
(c) 'completed'.</t>
  </si>
  <si>
    <t xml:space="preserve">&lt;S15_ID&gt; metadata.json lists exactly 43607, &lt;CHILD_C_ID&gt;, 43603; page.md shows new link text.</t>
  </si>
  <si>
    <t xml:space="preserve">Same stale-row risk as S03.</t>
  </si>
  <si>
    <t xml:space="preserve">S07</t>
  </si>
  <si>
    <t xml:space="preserve">Multiple rapid updates to the same page</t>
  </si>
  <si>
    <t xml:space="preserve">1. CC-1 → T0.
2. Within 2 minutes, edit Child C three times, saving each time:
   edit 1: add line 'QA-ZX91 rapid edit 1'
   edit 2: change it to 'QA-ZX91 rapid edit 2'
   edit 3: change it to 'QA-ZX91 rapid edit 3 FINAL'
3. Note final Athena revision Rf.
4. Trigger once (TP).
Optional variant B: edit 1 → trigger → edits 2+3 → trigger.</t>
  </si>
  <si>
    <t xml:space="preserve">Only the final state is persisted; no duplicate page/link rows; GCS has only the final version.</t>
  </si>
  <si>
    <t xml:space="preserve">(a) SELECT page_id, revision, content_size, date_modified, ingested_at FROM page WHERE page_id = '&lt;CHILD_C_ID&gt;';
(b) SELECT dependency_page_id, type, COUNT(*) AS n FROM page_dependency
WHERE page_id = '&lt;CHILD_C_ID&gt;' GROUP BY dependency_page_id, type HAVING COUNT(*) &gt; 1;
(c) SELECT page_id, job_run_id, job_type, load_type, status, has_errors, error_details, revision, ingested_at
FROM page_audit
WHERE page_id IN ('&lt;CHILD_C_ID&gt;')
  AND ingested_at &gt; TIMESTAMP('&lt;T0&gt;')
ORDER BY ingested_at;</t>
  </si>
  <si>
    <t xml:space="preserve">(a) revision = Rf; ingested_at &gt; T0.
(b) 0 rows.
(c) 'completed' rows only; no 'failed'.</t>
  </si>
  <si>
    <t xml:space="preserve">Child C page.md contains 'rapid edit 3 FINAL' and does NOT contain 'rapid edit 1' / 'rapid edit 2'.</t>
  </si>
  <si>
    <t xml:space="preserve">S08</t>
  </si>
  <si>
    <t xml:space="preserve">Content reverted to a previous revision</t>
  </si>
  <si>
    <t xml:space="preserve">1. BEFORE: run (a) + (b), export. Note Parent B revision R0.
2. CC-1 → T0.
3. Edit Parent B: add sentence 'QA-ZX91 TEMPORARY S8 EDIT'. Save → revision R1.
4. Trigger (TP). Checkpoint: (a) shows R1.
5. CC-1 again → T1 (Run Log).
6. Parent B → Page history → select version R0 → Restore/Revert → Publish. Note new revision shown by Athena (R2).
7. Trigger (TP).</t>
  </si>
  <si>
    <t xml:space="preserve">Final Spanner state matches the reverted content (not a mix); revisions history includes the intermediate edit; links = baseline; GCS = baseline.</t>
  </si>
  <si>
    <t xml:space="preserve">(a) SELECT page_id, revision, revisions, content_size, date_modified, ingested_at FROM page WHERE page_id = '43603';
(b) SELECT dependency_page_id, type FROM page_dependency WHERE page_id = '43603' ORDER BY dependency_page_id;
(c) Audit since T1:
SELECT page_id, load_type, status, revision, ingested_at FROM page_audit
WHERE page_id = '43603' AND ingested_at &gt; TIMESTAMP('&lt;T1&gt;') ORDER BY ingested_at;</t>
  </si>
  <si>
    <t xml:space="preserve">After step 7:
(a) revision = R2 (Athena's latest); ingested_at &gt; T1; content_size = R0 value; 'revisions' includes R1.
(b) = before.
(c) 'completed'.
FAIL if revision is still R1 or page.md still contains 'TEMPORARY' → revert was skipped.</t>
  </si>
  <si>
    <t xml:space="preserve">Parent B page.md does NOT contain 'TEMPORARY S8 EDIT' (Updated after T1).</t>
  </si>
  <si>
    <t xml:space="preserve">Code skips a page if stored revision ≥ Athena revision. If Athena restores the OLD revision number, the revert is skipped → defect.</t>
  </si>
  <si>
    <t xml:space="preserve">S10</t>
  </si>
  <si>
    <t xml:space="preserve">Page moved to a different parent</t>
  </si>
  <si>
    <t xml:space="preserve">1. BEFORE: run (a) + (c), export.
2. CC-1 → T0.
3. Child C → Options → Move → destination Parent A → confirm.
4. Trigger (TP).</t>
  </si>
  <si>
    <t xml:space="preserve">Single page row (same page_id), path updated; old parent's subpage link removed; new parent's subpage link added; no leftover GCS copy.</t>
  </si>
  <si>
    <t xml:space="preserve">(a) SELECT page_id, title, path, revision, ingested_at FROM page WHERE page_id = '&lt;CHILD_C_ID&gt;';
(b) SELECT COUNT(*) AS n FROM page WHERE title = 'Child C';
(c) SELECT page_id, dependency_page_id, type FROM page_dependency
WHERE dependency_page_id = '&lt;CHILD_C_ID&gt;' AND type = 'subpage';
(d) SELECT page_id, dependency_page_id, type, is_broken FROM page_dependency
WHERE dependency_page_id = '&lt;CHILD_C_ID&gt;' AND type != 'subpage';
(e) SELECT page_id, job_run_id, job_type, load_type, status, has_errors, error_details, revision, ingested_at
FROM page_audit
WHERE page_id IN ('&lt;CHILD_C_ID&gt;', '43601', '43603')
  AND ingested_at &gt; TIMESTAMP('&lt;T0&gt;')
ORDER BY ingested_at;</t>
  </si>
  <si>
    <t xml:space="preserve">(a) path ends /Test_Area/Parent_A/Child_C; same page_id; ingested_at &gt; T0.
(b) n = 1.
(c) Exactly 1 row with page_id = 43601; NO row with page_id = 43603.
(d) Inbound content links (e.g. from QA Multi-Link S15) still present, is_broken = false.
(e) 'completed' for Child C and both parents.</t>
  </si>
  <si>
    <t xml:space="preserve">Search each bucket for '&lt;CHILD_C_ID&gt;' → exactly one folder &lt;FOLDER&gt;/&lt;CHILD_C_ID&gt;/ with 3 objects Updated after T0.</t>
  </si>
  <si>
    <t xml:space="preserve">'failed_pages.json is clean' – ask dev where it lives on INT; mark N/A if not used.</t>
  </si>
  <si>
    <t xml:space="preserve">Hyperlink target page deleted</t>
  </si>
  <si>
    <t xml:space="preserve">1. BEFORE: run (b) – expect a row from Parent A (43601) → &lt;S14_ID&gt;.
2. CC-1 → T0.
3. Delete QA Link Target S14 (Options → Delete). Do NOT edit Parent A.
4. Trigger (TP).</t>
  </si>
  <si>
    <t xml:space="preserve">Target page removed; its GCS files removed; links involving it cleaned (or flagged broken); Parent A stays valid; audit shows affected pages.</t>
  </si>
  <si>
    <t xml:space="preserve">(a) SELECT COUNT(*) AS n FROM page WHERE page_id = '&lt;S14_ID&gt;';
(b) SELECT page_id, dependency_page_id, type, is_broken
FROM page_dependency
WHERE page_id = '&lt;S14_ID&gt;' OR dependency_page_id = '&lt;S14_ID&gt;';
(c) SELECT page_id, title, revision, ingested_at FROM page WHERE page_id = '43601';
(d) SELECT page_id, job_run_id, job_type, load_type, status, has_errors, error_details, revision, ingested_at
FROM page_audit
WHERE page_id IN ('&lt;S14_ID&gt;', '43601')
  AND ingested_at &gt; TIMESTAMP('&lt;T0&gt;')
ORDER BY ingested_at;
(e) CC-6.</t>
  </si>
  <si>
    <t xml:space="preserve">(a) n = 0.
(b) No rows with page_id = &lt;S14_ID&gt;. Any remaining row 43601 → &lt;S14_ID&gt; must have is_broken = TRUE; is_broken = false → FAIL (stale relationship).
(c) Parent A present.
(d) Rows with load_type delete_page / purge_content for &lt;S14_ID&gt; and repair_inbound for 43601; status 'completed'.
(e) 0 rows (or only is_broken = TRUE).</t>
  </si>
  <si>
    <t xml:space="preserve">&lt;FOLDER&gt;/&lt;S14_ID&gt;/ absent in all 3 buckets. Parent A metadata.json Updated after T0 (link marked broken).</t>
  </si>
  <si>
    <t xml:space="preserve">On 29-Sep is_broken was FALSE for all 4,776 rows – broken-link flagging may not be implemented.</t>
  </si>
  <si>
    <t xml:space="preserve">Page hard-removed from Athena</t>
  </si>
  <si>
    <t xml:space="preserve">1. BEFORE: run (b), export (expect subpage row Parent A → &lt;S5_ID&gt;).
2. CC-1 → T0.
3. Delete QA Delete Me S5 (Options → Delete).
4. Trigger (TP).</t>
  </si>
  <si>
    <t xml:space="preserve">Page row removed; all its links removed (in- and outbound); GCS files removed; audit entries for the page and affected pages.</t>
  </si>
  <si>
    <t xml:space="preserve">(a) SELECT COUNT(*) AS n FROM page WHERE page_id = '&lt;S5_ID&gt;';
(b) SELECT page_id, dependency_page_id, type FROM page_dependency
WHERE page_id = '&lt;S5_ID&gt;' OR dependency_page_id = '&lt;S5_ID&gt;';
(c) SELECT page_id, job_run_id, job_type, load_type, status, has_errors, error_details, revision, ingested_at
FROM page_audit
WHERE page_id IN ('&lt;S5_ID&gt;', '43601')
  AND ingested_at &gt; TIMESTAMP('&lt;T0&gt;')
ORDER BY ingested_at;
(d) Graph:
GRAPH knowledge_graph
MATCH (p:Page)-[d:DependsOn]-&gt;(t:Page)
WHERE t.page_id = '&lt;S5_ID&gt;'
RETURN p.page_id;</t>
  </si>
  <si>
    <t xml:space="preserve">(a) n = 0.
(b) 0 rows.
(c) delete_page / purge_content rows for &lt;S5_ID&gt;, status 'completed'.
(d) 0 rows.</t>
  </si>
  <si>
    <t xml:space="preserve">&lt;FOLDER&gt;/&lt;S5_ID&gt;/ absent in all 3 buckets.</t>
  </si>
  <si>
    <t xml:space="preserve">Deletes come from Athena /archive/pages and are only purged when GCS is available. If the page is still present after the run, ask dev whether archive processing is enabled.</t>
  </si>
  <si>
    <t xml:space="preserve">S09</t>
  </si>
  <si>
    <t xml:space="preserve">Page fails during processing (DEV-ASSISTED)</t>
  </si>
  <si>
    <t xml:space="preserve">1. Agree with dev: target page = Child B, and how the failure is induced for one run.
2. BEFORE: run (a) + (b), export.
3. CC-1 → T0.
4. Edit Child B body: add 'QA-ZX91 S9 edit'. Save.
5. Dev enables the failure.
6. Trigger (TP).</t>
  </si>
  <si>
    <t xml:space="preserve">Pipeline fails gracefully at the correct stage, recorded in page_audit; baseline page/links/GCS unchanged; other pages unaffected.</t>
  </si>
  <si>
    <t xml:space="preserve">(a) SELECT page_id, title, revision, content_size, ingested_at FROM page WHERE page_id = '43607';
(b) SELECT dependency_page_id, type FROM page_dependency WHERE page_id = '43607';
(c) SELECT page_id, job_run_id, job_type, load_type, status, has_errors, error_details, revision, ingested_at
FROM page_audit
WHERE page_id IN ('43607')
  AND ingested_at &gt; TIMESTAMP('&lt;T0&gt;')
ORDER BY ingested_at;
(d) SELECT page_id, job_run_id, status, watermark_time, ingested_at FROM page_since
WHERE page_id = '39960' ORDER BY ingested_at DESC LIMIT 3;</t>
  </si>
  <si>
    <t xml:space="preserve">(a) = before (old revision, ingested_at &lt; T0).
(b) = before.
(c) ≥ 1 row status 'failed', has_errors = true, error_details names the stage (fetch / markdown / metadata).
(d) Record: code says a failed page blocks its root's watermark from advancing.</t>
  </si>
  <si>
    <t xml:space="preserve">Child B objects Updated BEFORE T0 (unchanged).</t>
  </si>
  <si>
    <t xml:space="preserve">Cannot be forced by QA alone on INT. Mark Blocked if dev support unavailable.</t>
  </si>
  <si>
    <t xml:space="preserve">S16</t>
  </si>
  <si>
    <t xml:space="preserve">Previously failed page successfully reprocessed</t>
  </si>
  <si>
    <t xml:space="preserve">1. Continue straight after S09 (keep the S9 edit).
2. Dev removes the failure.
3. CC-1 → T1.
4. Trigger (TP).</t>
  </si>
  <si>
    <t xml:space="preserve">Page processed on retry; correct state persisted; links correct; GCS complete; failure does not permanently block; audit shows failure then success.</t>
  </si>
  <si>
    <t xml:space="preserve">(a) SELECT page_id, revision, content_size, ingested_at FROM page WHERE page_id = '43607';
(b) Full history since S09 T0:
SELECT page_id, job_run_id, load_type, status, has_errors, ingested_at FROM page_audit
WHERE page_id = '43607' AND ingested_at &gt; TIMESTAMP('&lt;T0 of S09&gt;') ORDER BY ingested_at;
(c) SELECT page_id, status, watermark_time, ingested_at FROM page_since
WHERE page_id = '39960' ORDER BY ingested_at DESC LIMIT 3;
(d) SELECT dependency_page_id, type FROM page_dependency WHERE page_id = '43607';</t>
  </si>
  <si>
    <t xml:space="preserve">(a) revision = Athena latest; ingested_at &gt; T1.
(b) 'failed' row(s) from S09 followed by 'completed' row(s).
(c) New COMPLETED row after T1 with watermark_time advanced.
(d) Same links as SU-3 baseline.</t>
  </si>
  <si>
    <t xml:space="preserve">Child B page.md contains 'S9 edit'; all 3 objects Updated after T1.</t>
  </si>
  <si>
    <t xml:space="preserve">Date</t>
  </si>
  <si>
    <t xml:space="preserve">Tester</t>
  </si>
  <si>
    <t xml:space="preserve">T0 (UTC, from CC-1)</t>
  </si>
  <si>
    <t xml:space="preserve">T1 (if used)</t>
  </si>
  <si>
    <t xml:space="preserve">Trigger (Bruno / Scheduler)</t>
  </si>
  <si>
    <t xml:space="preserve">job_id (Bruno)</t>
  </si>
  <si>
    <t xml:space="preserve">job_run_id (CC-2)</t>
  </si>
  <si>
    <t xml:space="preserve">Athena revision before</t>
  </si>
  <si>
    <t xml:space="preserve">Athena revision after</t>
  </si>
  <si>
    <t xml:space="preserve">EXAMPLE</t>
  </si>
  <si>
    <t xml:space="preserve">01-Oct-2026</t>
  </si>
  <si>
    <t xml:space="preserve">Vamsi</t>
  </si>
  <si>
    <t xml:space="preserve">2026-10-01T09:15:02.123456Z</t>
  </si>
  <si>
    <t xml:space="preserve">Bruno</t>
  </si>
  <si>
    <t xml:space="preserve">8f2c…</t>
  </si>
  <si>
    <t xml:space="preserve">2c6927dd20a04dc2ab349815cb5b9ab9</t>
  </si>
  <si>
    <t xml:space="preserve">4</t>
  </si>
  <si>
    <t xml:space="preserve">5</t>
  </si>
  <si>
    <t xml:space="preserve">Example row – delete when starting.</t>
  </si>
  <si>
    <t xml:space="preserve">Case</t>
  </si>
  <si>
    <t xml:space="preserve">Type</t>
  </si>
  <si>
    <t xml:space="preserve">Evidence</t>
  </si>
  <si>
    <t xml:space="preserve">Severity</t>
  </si>
  <si>
    <t xml:space="preserve">Jira key</t>
  </si>
  <si>
    <t xml:space="preserve">PRE-1</t>
  </si>
  <si>
    <t xml:space="preserve">Blocker (env)</t>
  </si>
  <si>
    <t xml:space="preserve">INT Spanner schema older than repo DDL: no 'job' table; page_audit has no 'job_type'; page has 'is_draft' not 'draft_state'.</t>
  </si>
  <si>
    <t xml:space="preserve">Discovery 29-Sep (information_schema)</t>
  </si>
  <si>
    <t xml:space="preserve">Schema = Liquibase 20260903_0900 changeset</t>
  </si>
  <si>
    <t xml:space="preserve">Old schema</t>
  </si>
  <si>
    <t xml:space="preserve">High</t>
  </si>
  <si>
    <t xml:space="preserve">Open – confirm with dev</t>
  </si>
  <si>
    <t xml:space="preserve">PRE-2</t>
  </si>
  <si>
    <t xml:space="preserve">Observation</t>
  </si>
  <si>
    <t xml:space="preserve">No pipeline run on INT since 18-Sep-2026 15:14 UTC; Test Area pages last ingested 14-Sep – Spanner does not match Athena.</t>
  </si>
  <si>
    <t xml:space="preserve">page_since / page queries 29-Sep</t>
  </si>
  <si>
    <t xml:space="preserve">Runs every 30 min</t>
  </si>
  <si>
    <t xml:space="preserve">No runs</t>
  </si>
  <si>
    <t xml:space="preserve">PRE-3</t>
  </si>
  <si>
    <t xml:space="preserve">is_broken = FALSE for all 4,776 page_dependency rows – broken-link flagging may not be implemented.</t>
  </si>
  <si>
    <t xml:space="preserve">COUNTIF(is_broken) = 0</t>
  </si>
  <si>
    <t xml:space="preserve">Broken links flagged</t>
  </si>
  <si>
    <t xml:space="preserve">Never flagged</t>
  </si>
  <si>
    <t xml:space="preserve">Medium</t>
  </si>
  <si>
    <t xml:space="preserve">PRE-4</t>
  </si>
  <si>
    <t xml:space="preserve">Root 39963 page_since rows have NULL since_time / watermark_time while status = COMPLETED.</t>
  </si>
  <si>
    <t xml:space="preserve">page_since query 29-Sep</t>
  </si>
  <si>
    <t xml:space="preserve">Watermark populated</t>
  </si>
  <si>
    <t xml:space="preserve">NULL</t>
  </si>
  <si>
    <t xml:space="preserve">PRE-5</t>
  </si>
  <si>
    <t xml:space="preserve">page_audit table is EMPTY on INT.</t>
  </si>
  <si>
    <t xml:space="preserve">GROUP BY load_type,status returned no rows</t>
  </si>
  <si>
    <t xml:space="preserve">Audit rows per processed page</t>
  </si>
  <si>
    <t xml:space="preserve">0 rows</t>
  </si>
  <si>
    <t xml:space="preserve">Open – recheck after deployment</t>
  </si>
  <si>
    <t xml:space="preserve">PRE-6</t>
  </si>
  <si>
    <t xml:space="preserve">Leaf pages (Child A/AA/B) have page_type 'Parent'; parents have 'Navigation'. Confirm intended semantics.</t>
  </si>
  <si>
    <t xml:space="preserve">Test Area query 29-Sep</t>
  </si>
  <si>
    <t xml:space="preserve">Low</t>
  </si>
  <si>
    <t xml:space="preserve">Count</t>
  </si>
  <si>
    <t xml:space="preserve">Total scenarios</t>
  </si>
  <si>
    <t xml:space="preserve">Executed %</t>
  </si>
  <si>
    <t xml:space="preserve">Note</t>
  </si>
  <si>
    <t xml:space="preserve">Counts the 16 scenarios on 'Test Cases' (setup rows SU-1..SU-3 excluded).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</si>
</sst>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  <c r="B1" s="1"/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4" t="s">
        <v>5</v>
      </c>
      <c r="B4" s="4"/>
    </row>
    <row r="5" customFormat="false" ht="15" hidden="false" customHeight="false" outlineLevel="0" collapsed="false">
      <c r="A5" s="2" t="s">
        <v>6</v>
      </c>
      <c r="B5" s="3" t="s">
        <v>7</v>
      </c>
    </row>
    <row r="6" customFormat="false" ht="15" hidden="false" customHeight="false" outlineLevel="0" collapsed="false">
      <c r="A6" s="2" t="s">
        <v>8</v>
      </c>
      <c r="B6" s="3" t="s">
        <v>9</v>
      </c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15" hidden="false" customHeight="false" outlineLevel="0" collapsed="false">
      <c r="A8" s="2" t="s">
        <v>12</v>
      </c>
      <c r="B8" s="3" t="s">
        <v>13</v>
      </c>
    </row>
    <row r="9" customFormat="false" ht="23.85" hidden="false" customHeight="false" outlineLevel="0" collapsed="false">
      <c r="A9" s="2" t="s">
        <v>14</v>
      </c>
      <c r="B9" s="3" t="s">
        <v>15</v>
      </c>
    </row>
    <row r="10" customFormat="false" ht="15" hidden="false" customHeight="false" outlineLevel="0" collapsed="false">
      <c r="A10" s="2" t="s">
        <v>16</v>
      </c>
      <c r="B10" s="5" t="s">
        <v>17</v>
      </c>
    </row>
    <row r="11" customFormat="false" ht="23.85" hidden="false" customHeight="false" outlineLevel="0" collapsed="false">
      <c r="A11" s="2" t="s">
        <v>18</v>
      </c>
      <c r="B11" s="3" t="s">
        <v>19</v>
      </c>
    </row>
    <row r="12" customFormat="false" ht="15" hidden="false" customHeight="false" outlineLevel="0" collapsed="false">
      <c r="A12" s="2" t="s">
        <v>20</v>
      </c>
      <c r="B12" s="5" t="s">
        <v>21</v>
      </c>
    </row>
    <row r="13" customFormat="false" ht="15" hidden="false" customHeight="false" outlineLevel="0" collapsed="false">
      <c r="A13" s="4" t="s">
        <v>22</v>
      </c>
      <c r="B13" s="4"/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8" customFormat="false" ht="15" hidden="false" customHeight="false" outlineLevel="0" collapsed="false">
      <c r="A18" s="2" t="s">
        <v>31</v>
      </c>
      <c r="B18" s="3" t="s">
        <v>32</v>
      </c>
    </row>
    <row r="19" customFormat="false" ht="15" hidden="false" customHeight="false" outlineLevel="0" collapsed="false">
      <c r="A19" s="2" t="s">
        <v>33</v>
      </c>
      <c r="B19" s="3" t="s">
        <v>34</v>
      </c>
    </row>
    <row r="20" customFormat="false" ht="15" hidden="false" customHeight="false" outlineLevel="0" collapsed="false">
      <c r="A20" s="4" t="s">
        <v>35</v>
      </c>
      <c r="B20" s="4"/>
    </row>
    <row r="21" customFormat="false" ht="35.05" hidden="false" customHeight="false" outlineLevel="0" collapsed="false">
      <c r="A21" s="2" t="s">
        <v>36</v>
      </c>
      <c r="B21" s="3" t="s">
        <v>37</v>
      </c>
    </row>
    <row r="22" customFormat="false" ht="23.85" hidden="false" customHeight="false" outlineLevel="0" collapsed="false">
      <c r="A22" s="2" t="s">
        <v>38</v>
      </c>
      <c r="B22" s="3" t="s">
        <v>39</v>
      </c>
    </row>
    <row r="23" customFormat="false" ht="15" hidden="false" customHeight="false" outlineLevel="0" collapsed="false">
      <c r="A23" s="4" t="s">
        <v>40</v>
      </c>
      <c r="B23" s="4"/>
    </row>
    <row r="24" customFormat="false" ht="35.05" hidden="false" customHeight="false" outlineLevel="0" collapsed="false">
      <c r="A24" s="2" t="s">
        <v>36</v>
      </c>
      <c r="B24" s="3" t="s">
        <v>41</v>
      </c>
    </row>
    <row r="25" customFormat="false" ht="15" hidden="false" customHeight="false" outlineLevel="0" collapsed="false">
      <c r="A25" s="4" t="s">
        <v>42</v>
      </c>
      <c r="B25" s="4"/>
    </row>
    <row r="26" customFormat="false" ht="23.85" hidden="false" customHeight="false" outlineLevel="0" collapsed="false">
      <c r="A26" s="2" t="s">
        <v>43</v>
      </c>
      <c r="B26" s="5" t="s">
        <v>44</v>
      </c>
    </row>
    <row r="27" customFormat="false" ht="15" hidden="false" customHeight="false" outlineLevel="0" collapsed="false">
      <c r="A27" s="2" t="s">
        <v>45</v>
      </c>
      <c r="B27" s="3" t="s">
        <v>46</v>
      </c>
    </row>
    <row r="28" customFormat="false" ht="23.85" hidden="false" customHeight="false" outlineLevel="0" collapsed="false">
      <c r="A28" s="2" t="s">
        <v>47</v>
      </c>
      <c r="B28" s="3" t="s">
        <v>48</v>
      </c>
    </row>
    <row r="29" customFormat="false" ht="15" hidden="false" customHeight="false" outlineLevel="0" collapsed="false">
      <c r="A29" s="4" t="s">
        <v>49</v>
      </c>
      <c r="B29" s="4"/>
    </row>
    <row r="30" customFormat="false" ht="15" hidden="false" customHeight="false" outlineLevel="0" collapsed="false">
      <c r="A30" s="2" t="s">
        <v>50</v>
      </c>
      <c r="B30" s="3" t="s">
        <v>51</v>
      </c>
    </row>
    <row r="31" customFormat="false" ht="15" hidden="false" customHeight="false" outlineLevel="0" collapsed="false">
      <c r="A31" s="2" t="s">
        <v>52</v>
      </c>
      <c r="B31" s="3" t="s">
        <v>53</v>
      </c>
    </row>
    <row r="32" customFormat="false" ht="15" hidden="false" customHeight="false" outlineLevel="0" collapsed="false">
      <c r="A32" s="2" t="s">
        <v>54</v>
      </c>
      <c r="B32" s="3" t="s">
        <v>55</v>
      </c>
    </row>
    <row r="33" customFormat="false" ht="15" hidden="false" customHeight="false" outlineLevel="0" collapsed="false">
      <c r="A33" s="2" t="s">
        <v>56</v>
      </c>
      <c r="B33" s="3" t="s">
        <v>57</v>
      </c>
    </row>
    <row r="34" customFormat="false" ht="15" hidden="false" customHeight="false" outlineLevel="0" collapsed="false">
      <c r="A34" s="4" t="s">
        <v>58</v>
      </c>
      <c r="B34" s="4"/>
    </row>
    <row r="35" customFormat="false" ht="15" hidden="false" customHeight="false" outlineLevel="0" collapsed="false">
      <c r="A35" s="2" t="s">
        <v>59</v>
      </c>
      <c r="B35" s="3" t="s">
        <v>60</v>
      </c>
    </row>
    <row r="36" customFormat="false" ht="15" hidden="false" customHeight="false" outlineLevel="0" collapsed="false">
      <c r="A36" s="2" t="s">
        <v>61</v>
      </c>
      <c r="B36" s="3" t="s">
        <v>62</v>
      </c>
    </row>
    <row r="37" customFormat="false" ht="15" hidden="false" customHeight="false" outlineLevel="0" collapsed="false">
      <c r="A37" s="2" t="s">
        <v>63</v>
      </c>
      <c r="B37" s="3" t="s">
        <v>64</v>
      </c>
    </row>
    <row r="38" customFormat="false" ht="15" hidden="false" customHeight="false" outlineLevel="0" collapsed="false">
      <c r="A38" s="2" t="s">
        <v>65</v>
      </c>
      <c r="B38" s="3" t="s">
        <v>66</v>
      </c>
    </row>
    <row r="39" customFormat="false" ht="15" hidden="false" customHeight="false" outlineLevel="0" collapsed="false">
      <c r="A39" s="2" t="s">
        <v>67</v>
      </c>
      <c r="B39" s="3" t="s">
        <v>68</v>
      </c>
    </row>
    <row r="40" customFormat="false" ht="15" hidden="false" customHeight="false" outlineLevel="0" collapsed="false">
      <c r="A40" s="2" t="s">
        <v>69</v>
      </c>
      <c r="B40" s="3" t="s">
        <v>70</v>
      </c>
    </row>
    <row r="41" customFormat="false" ht="15" hidden="false" customHeight="false" outlineLevel="0" collapsed="false">
      <c r="A41" s="2" t="s">
        <v>71</v>
      </c>
      <c r="B41" s="3" t="s">
        <v>72</v>
      </c>
    </row>
  </sheetData>
  <mergeCells count="8">
    <mergeCell ref="A1:B1"/>
    <mergeCell ref="A4:B4"/>
    <mergeCell ref="A13:B13"/>
    <mergeCell ref="A20:B20"/>
    <mergeCell ref="A23:B23"/>
    <mergeCell ref="A25:B25"/>
    <mergeCell ref="A29:B29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10"/>
  </cols>
  <sheetData>
    <row r="1" customFormat="false" ht="26.85" hidden="false" customHeight="false" outlineLevel="0" collapsed="false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</row>
    <row r="2" customFormat="false" ht="35.05" hidden="false" customHeight="false" outlineLevel="0" collapsed="false">
      <c r="A2" s="7" t="s">
        <v>80</v>
      </c>
      <c r="B2" s="7" t="s">
        <v>81</v>
      </c>
      <c r="C2" s="7" t="s">
        <v>82</v>
      </c>
      <c r="D2" s="7" t="s">
        <v>83</v>
      </c>
      <c r="E2" s="7" t="s">
        <v>84</v>
      </c>
      <c r="F2" s="8"/>
      <c r="G2" s="8"/>
    </row>
    <row r="3" customFormat="false" ht="35.05" hidden="false" customHeight="false" outlineLevel="0" collapsed="false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8"/>
      <c r="G3" s="8"/>
    </row>
    <row r="4" customFormat="false" ht="79.85" hidden="false" customHeight="false" outlineLevel="0" collapsed="false">
      <c r="A4" s="7" t="s">
        <v>90</v>
      </c>
      <c r="B4" s="7" t="s">
        <v>91</v>
      </c>
      <c r="C4" s="7" t="s">
        <v>92</v>
      </c>
      <c r="D4" s="7" t="s">
        <v>93</v>
      </c>
      <c r="E4" s="7" t="s">
        <v>94</v>
      </c>
      <c r="F4" s="8"/>
      <c r="G4" s="8"/>
    </row>
    <row r="5" customFormat="false" ht="15" hidden="false" customHeight="false" outlineLevel="0" collapsed="false">
      <c r="A5" s="7" t="s">
        <v>95</v>
      </c>
      <c r="B5" s="7" t="s">
        <v>96</v>
      </c>
      <c r="C5" s="7" t="s">
        <v>97</v>
      </c>
      <c r="D5" s="7" t="s">
        <v>98</v>
      </c>
      <c r="E5" s="7" t="s">
        <v>99</v>
      </c>
      <c r="F5" s="8"/>
      <c r="G5" s="8"/>
    </row>
    <row r="6" customFormat="false" ht="46.25" hidden="false" customHeight="false" outlineLevel="0" collapsed="false">
      <c r="A6" s="7" t="s">
        <v>100</v>
      </c>
      <c r="B6" s="7" t="s">
        <v>101</v>
      </c>
      <c r="C6" s="7" t="s">
        <v>102</v>
      </c>
      <c r="D6" s="7" t="s">
        <v>103</v>
      </c>
      <c r="E6" s="7" t="s">
        <v>104</v>
      </c>
      <c r="F6" s="8"/>
      <c r="G6" s="8"/>
    </row>
    <row r="7" customFormat="false" ht="35.05" hidden="false" customHeight="false" outlineLevel="0" collapsed="false">
      <c r="A7" s="7" t="s">
        <v>105</v>
      </c>
      <c r="B7" s="7" t="s">
        <v>106</v>
      </c>
      <c r="C7" s="7" t="s">
        <v>107</v>
      </c>
      <c r="D7" s="7" t="s">
        <v>108</v>
      </c>
      <c r="E7" s="7" t="s">
        <v>109</v>
      </c>
      <c r="F7" s="8"/>
      <c r="G7" s="8"/>
    </row>
    <row r="8" customFormat="false" ht="23.85" hidden="false" customHeight="false" outlineLevel="0" collapsed="false">
      <c r="A8" s="7" t="s">
        <v>110</v>
      </c>
      <c r="B8" s="7" t="s">
        <v>111</v>
      </c>
      <c r="C8" s="7" t="s">
        <v>112</v>
      </c>
      <c r="D8" s="7" t="s">
        <v>113</v>
      </c>
      <c r="E8" s="7" t="s">
        <v>114</v>
      </c>
      <c r="F8" s="8"/>
      <c r="G8" s="8"/>
    </row>
    <row r="9" customFormat="false" ht="35.05" hidden="false" customHeight="false" outlineLevel="0" collapsed="false">
      <c r="A9" s="7" t="s">
        <v>115</v>
      </c>
      <c r="B9" s="7" t="s">
        <v>116</v>
      </c>
      <c r="C9" s="7" t="s">
        <v>117</v>
      </c>
      <c r="D9" s="7" t="s">
        <v>118</v>
      </c>
      <c r="E9" s="7" t="s">
        <v>119</v>
      </c>
      <c r="F9" s="8"/>
      <c r="G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70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6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6" t="s">
        <v>127</v>
      </c>
    </row>
    <row r="2" customFormat="false" ht="15" hidden="false" customHeight="false" outlineLevel="0" collapsed="false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</row>
    <row r="3" customFormat="false" ht="46.25" hidden="false" customHeight="false" outlineLevel="0" collapsed="false">
      <c r="A3" s="7" t="s">
        <v>136</v>
      </c>
      <c r="B3" s="7" t="s">
        <v>128</v>
      </c>
      <c r="C3" s="7" t="s">
        <v>137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142</v>
      </c>
    </row>
    <row r="4" customFormat="false" ht="46.25" hidden="false" customHeight="false" outlineLevel="0" collapsed="false">
      <c r="A4" s="7" t="s">
        <v>143</v>
      </c>
      <c r="B4" s="7" t="s">
        <v>128</v>
      </c>
      <c r="C4" s="7" t="s">
        <v>144</v>
      </c>
      <c r="D4" s="7" t="s">
        <v>138</v>
      </c>
      <c r="E4" s="7" t="s">
        <v>145</v>
      </c>
      <c r="F4" s="7" t="s">
        <v>146</v>
      </c>
      <c r="G4" s="7" t="s">
        <v>147</v>
      </c>
      <c r="H4" s="7"/>
    </row>
    <row r="5" customFormat="false" ht="57.45" hidden="false" customHeight="false" outlineLevel="0" collapsed="false">
      <c r="A5" s="7" t="s">
        <v>148</v>
      </c>
      <c r="B5" s="7" t="s">
        <v>143</v>
      </c>
      <c r="C5" s="7" t="s">
        <v>149</v>
      </c>
      <c r="D5" s="7" t="s">
        <v>138</v>
      </c>
      <c r="E5" s="7" t="s">
        <v>150</v>
      </c>
      <c r="F5" s="7" t="s">
        <v>151</v>
      </c>
      <c r="G5" s="7" t="s">
        <v>152</v>
      </c>
      <c r="H5" s="7" t="s">
        <v>153</v>
      </c>
    </row>
    <row r="6" customFormat="false" ht="35.05" hidden="false" customHeight="false" outlineLevel="0" collapsed="false">
      <c r="A6" s="7" t="s">
        <v>154</v>
      </c>
      <c r="B6" s="7" t="s">
        <v>143</v>
      </c>
      <c r="C6" s="7" t="s">
        <v>155</v>
      </c>
      <c r="D6" s="7" t="s">
        <v>138</v>
      </c>
      <c r="E6" s="7" t="s">
        <v>156</v>
      </c>
      <c r="F6" s="7" t="s">
        <v>157</v>
      </c>
      <c r="G6" s="7" t="s">
        <v>158</v>
      </c>
      <c r="H6" s="7"/>
    </row>
    <row r="7" customFormat="false" ht="35.05" hidden="false" customHeight="false" outlineLevel="0" collapsed="false">
      <c r="A7" s="7" t="s">
        <v>159</v>
      </c>
      <c r="B7" s="7" t="s">
        <v>143</v>
      </c>
      <c r="C7" s="8" t="s">
        <v>160</v>
      </c>
      <c r="D7" s="7" t="s">
        <v>138</v>
      </c>
      <c r="E7" s="7" t="s">
        <v>161</v>
      </c>
      <c r="F7" s="7" t="s">
        <v>146</v>
      </c>
      <c r="G7" s="7" t="s">
        <v>162</v>
      </c>
      <c r="H7" s="7" t="s">
        <v>163</v>
      </c>
    </row>
    <row r="8" customFormat="false" ht="35.05" hidden="false" customHeight="false" outlineLevel="0" collapsed="false">
      <c r="A8" s="7" t="s">
        <v>164</v>
      </c>
      <c r="B8" s="7" t="s">
        <v>136</v>
      </c>
      <c r="C8" s="8" t="s">
        <v>165</v>
      </c>
      <c r="D8" s="7" t="s">
        <v>166</v>
      </c>
      <c r="E8" s="7" t="s">
        <v>167</v>
      </c>
      <c r="F8" s="7" t="s">
        <v>157</v>
      </c>
      <c r="G8" s="7" t="s">
        <v>168</v>
      </c>
      <c r="H8" s="7"/>
    </row>
    <row r="9" customFormat="false" ht="35.05" hidden="false" customHeight="false" outlineLevel="0" collapsed="false">
      <c r="A9" s="7" t="s">
        <v>169</v>
      </c>
      <c r="B9" s="7" t="s">
        <v>136</v>
      </c>
      <c r="C9" s="8" t="s">
        <v>170</v>
      </c>
      <c r="D9" s="7" t="s">
        <v>166</v>
      </c>
      <c r="E9" s="7" t="s">
        <v>171</v>
      </c>
      <c r="F9" s="7" t="s">
        <v>157</v>
      </c>
      <c r="G9" s="7" t="s">
        <v>172</v>
      </c>
      <c r="H9" s="7" t="s">
        <v>173</v>
      </c>
    </row>
    <row r="10" customFormat="false" ht="35.05" hidden="false" customHeight="false" outlineLevel="0" collapsed="false">
      <c r="A10" s="7" t="s">
        <v>174</v>
      </c>
      <c r="B10" s="7" t="s">
        <v>136</v>
      </c>
      <c r="C10" s="8" t="s">
        <v>175</v>
      </c>
      <c r="D10" s="7" t="s">
        <v>166</v>
      </c>
      <c r="E10" s="7" t="s">
        <v>176</v>
      </c>
      <c r="F10" s="7" t="s">
        <v>177</v>
      </c>
      <c r="G10" s="7" t="s">
        <v>178</v>
      </c>
      <c r="H10" s="7"/>
    </row>
    <row r="11" customFormat="false" ht="35.05" hidden="false" customHeight="false" outlineLevel="0" collapsed="false">
      <c r="A11" s="7" t="s">
        <v>179</v>
      </c>
      <c r="B11" s="7" t="s">
        <v>136</v>
      </c>
      <c r="C11" s="8" t="s">
        <v>180</v>
      </c>
      <c r="D11" s="7" t="s">
        <v>181</v>
      </c>
      <c r="E11" s="7" t="s">
        <v>182</v>
      </c>
      <c r="F11" s="7" t="s">
        <v>146</v>
      </c>
      <c r="G11" s="7" t="s">
        <v>183</v>
      </c>
      <c r="H11" s="7"/>
    </row>
    <row r="12" customFormat="false" ht="23.85" hidden="false" customHeight="false" outlineLevel="0" collapsed="false">
      <c r="A12" s="7" t="s">
        <v>184</v>
      </c>
      <c r="B12" s="7" t="s">
        <v>129</v>
      </c>
      <c r="C12" s="8" t="s">
        <v>185</v>
      </c>
      <c r="D12" s="7" t="s">
        <v>186</v>
      </c>
      <c r="E12" s="7" t="s">
        <v>187</v>
      </c>
      <c r="F12" s="7" t="s">
        <v>188</v>
      </c>
      <c r="G12" s="7" t="s">
        <v>189</v>
      </c>
      <c r="H12" s="7" t="s">
        <v>190</v>
      </c>
    </row>
    <row r="13" customFormat="false" ht="23.85" hidden="false" customHeight="false" outlineLevel="0" collapsed="false">
      <c r="A13" s="7" t="s">
        <v>191</v>
      </c>
      <c r="B13" s="7" t="s">
        <v>192</v>
      </c>
      <c r="C13" s="7" t="s">
        <v>193</v>
      </c>
      <c r="D13" s="7" t="s">
        <v>194</v>
      </c>
      <c r="E13" s="7" t="s">
        <v>188</v>
      </c>
      <c r="F13" s="7" t="s">
        <v>188</v>
      </c>
      <c r="G13" s="7" t="s">
        <v>195</v>
      </c>
      <c r="H13" s="7" t="s">
        <v>196</v>
      </c>
    </row>
    <row r="14" customFormat="false" ht="15" hidden="false" customHeight="false" outlineLevel="0" collapsed="false">
      <c r="A14" s="7" t="s">
        <v>197</v>
      </c>
      <c r="B14" s="7" t="s">
        <v>128</v>
      </c>
      <c r="C14" s="7" t="s">
        <v>188</v>
      </c>
      <c r="D14" s="7" t="s">
        <v>198</v>
      </c>
      <c r="E14" s="7" t="s">
        <v>188</v>
      </c>
      <c r="F14" s="7" t="s">
        <v>188</v>
      </c>
      <c r="G14" s="7" t="s">
        <v>188</v>
      </c>
      <c r="H14" s="7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95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6" t="s">
        <v>73</v>
      </c>
      <c r="B1" s="6" t="s">
        <v>1</v>
      </c>
      <c r="C1" s="6" t="s">
        <v>200</v>
      </c>
      <c r="D1" s="6" t="s">
        <v>201</v>
      </c>
    </row>
    <row r="2" customFormat="false" ht="23.85" hidden="false" customHeight="false" outlineLevel="0" collapsed="false">
      <c r="A2" s="7" t="s">
        <v>202</v>
      </c>
      <c r="B2" s="7" t="s">
        <v>203</v>
      </c>
      <c r="C2" s="7" t="s">
        <v>204</v>
      </c>
      <c r="D2" s="7" t="s">
        <v>205</v>
      </c>
    </row>
    <row r="3" customFormat="false" ht="57.45" hidden="false" customHeight="false" outlineLevel="0" collapsed="false">
      <c r="A3" s="7" t="s">
        <v>206</v>
      </c>
      <c r="B3" s="7" t="s">
        <v>207</v>
      </c>
      <c r="C3" s="7" t="s">
        <v>208</v>
      </c>
      <c r="D3" s="7" t="s">
        <v>209</v>
      </c>
    </row>
    <row r="4" customFormat="false" ht="46.25" hidden="false" customHeight="false" outlineLevel="0" collapsed="false">
      <c r="A4" s="7" t="s">
        <v>210</v>
      </c>
      <c r="B4" s="7" t="s">
        <v>211</v>
      </c>
      <c r="C4" s="7" t="s">
        <v>212</v>
      </c>
      <c r="D4" s="7" t="s">
        <v>213</v>
      </c>
    </row>
    <row r="5" customFormat="false" ht="68.65" hidden="false" customHeight="false" outlineLevel="0" collapsed="false">
      <c r="A5" s="7" t="s">
        <v>214</v>
      </c>
      <c r="B5" s="7" t="s">
        <v>215</v>
      </c>
      <c r="C5" s="7" t="s">
        <v>216</v>
      </c>
      <c r="D5" s="7" t="s">
        <v>217</v>
      </c>
    </row>
    <row r="6" customFormat="false" ht="79.85" hidden="false" customHeight="false" outlineLevel="0" collapsed="false">
      <c r="A6" s="7" t="s">
        <v>218</v>
      </c>
      <c r="B6" s="7" t="s">
        <v>219</v>
      </c>
      <c r="C6" s="7" t="s">
        <v>220</v>
      </c>
      <c r="D6" s="7" t="s">
        <v>221</v>
      </c>
    </row>
    <row r="7" customFormat="false" ht="68.65" hidden="false" customHeight="false" outlineLevel="0" collapsed="false">
      <c r="A7" s="7" t="s">
        <v>222</v>
      </c>
      <c r="B7" s="7" t="s">
        <v>223</v>
      </c>
      <c r="C7" s="7" t="s">
        <v>224</v>
      </c>
      <c r="D7" s="7" t="s">
        <v>225</v>
      </c>
    </row>
    <row r="8" customFormat="false" ht="68.65" hidden="false" customHeight="false" outlineLevel="0" collapsed="false">
      <c r="A8" s="7" t="s">
        <v>226</v>
      </c>
      <c r="B8" s="7" t="s">
        <v>227</v>
      </c>
      <c r="C8" s="7" t="s">
        <v>228</v>
      </c>
      <c r="D8" s="7" t="s">
        <v>229</v>
      </c>
    </row>
    <row r="9" customFormat="false" ht="46.25" hidden="false" customHeight="false" outlineLevel="0" collapsed="false">
      <c r="A9" s="7" t="s">
        <v>230</v>
      </c>
      <c r="B9" s="7" t="s">
        <v>231</v>
      </c>
      <c r="C9" s="7" t="s">
        <v>232</v>
      </c>
      <c r="D9" s="7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78"/>
    <col collapsed="false" customWidth="true" hidden="false" outlineLevel="0" max="7" min="7" style="0" width="55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36"/>
  </cols>
  <sheetData>
    <row r="1" customFormat="false" ht="26.85" hidden="false" customHeight="false" outlineLevel="0" collapsed="false">
      <c r="A1" s="6" t="s">
        <v>234</v>
      </c>
      <c r="B1" s="6" t="s">
        <v>235</v>
      </c>
      <c r="C1" s="6" t="s">
        <v>236</v>
      </c>
      <c r="D1" s="6" t="s">
        <v>237</v>
      </c>
      <c r="E1" s="6" t="s">
        <v>238</v>
      </c>
      <c r="F1" s="6" t="s">
        <v>239</v>
      </c>
      <c r="G1" s="6" t="s">
        <v>240</v>
      </c>
      <c r="H1" s="6" t="s">
        <v>241</v>
      </c>
      <c r="I1" s="6" t="s">
        <v>242</v>
      </c>
      <c r="J1" s="6" t="s">
        <v>243</v>
      </c>
      <c r="K1" s="6" t="s">
        <v>244</v>
      </c>
      <c r="L1" s="6" t="s">
        <v>245</v>
      </c>
    </row>
    <row r="2" customFormat="false" ht="330" hidden="false" customHeight="true" outlineLevel="0" collapsed="false">
      <c r="A2" s="9" t="n">
        <v>1</v>
      </c>
      <c r="B2" s="9" t="s">
        <v>246</v>
      </c>
      <c r="C2" s="9" t="s">
        <v>247</v>
      </c>
      <c r="D2" s="9" t="s">
        <v>248</v>
      </c>
      <c r="E2" s="9" t="s">
        <v>249</v>
      </c>
      <c r="F2" s="9" t="s">
        <v>250</v>
      </c>
      <c r="G2" s="9" t="s">
        <v>251</v>
      </c>
      <c r="H2" s="9" t="s">
        <v>105</v>
      </c>
      <c r="I2" s="8"/>
      <c r="J2" s="8" t="s">
        <v>252</v>
      </c>
      <c r="K2" s="8"/>
      <c r="L2" s="9"/>
    </row>
    <row r="3" customFormat="false" ht="330" hidden="false" customHeight="true" outlineLevel="0" collapsed="false">
      <c r="A3" s="9" t="n">
        <v>2</v>
      </c>
      <c r="B3" s="9" t="s">
        <v>253</v>
      </c>
      <c r="C3" s="9" t="s">
        <v>254</v>
      </c>
      <c r="D3" s="9" t="s">
        <v>255</v>
      </c>
      <c r="E3" s="9" t="s">
        <v>256</v>
      </c>
      <c r="F3" s="9" t="s">
        <v>257</v>
      </c>
      <c r="G3" s="9" t="s">
        <v>258</v>
      </c>
      <c r="H3" s="9" t="s">
        <v>188</v>
      </c>
      <c r="I3" s="8"/>
      <c r="J3" s="8" t="s">
        <v>252</v>
      </c>
      <c r="K3" s="8"/>
      <c r="L3" s="9"/>
    </row>
    <row r="4" customFormat="false" ht="330" hidden="false" customHeight="true" outlineLevel="0" collapsed="false">
      <c r="A4" s="9" t="n">
        <v>3</v>
      </c>
      <c r="B4" s="9" t="s">
        <v>195</v>
      </c>
      <c r="C4" s="9" t="s">
        <v>259</v>
      </c>
      <c r="D4" s="9" t="s">
        <v>260</v>
      </c>
      <c r="E4" s="9" t="s">
        <v>261</v>
      </c>
      <c r="F4" s="9" t="s">
        <v>262</v>
      </c>
      <c r="G4" s="9" t="s">
        <v>263</v>
      </c>
      <c r="H4" s="9" t="s">
        <v>264</v>
      </c>
      <c r="I4" s="8"/>
      <c r="J4" s="8" t="s">
        <v>252</v>
      </c>
      <c r="K4" s="8"/>
      <c r="L4" s="9" t="s">
        <v>265</v>
      </c>
    </row>
    <row r="5" customFormat="false" ht="330" hidden="false" customHeight="true" outlineLevel="0" collapsed="false">
      <c r="A5" s="7" t="n">
        <v>4</v>
      </c>
      <c r="B5" s="7" t="s">
        <v>266</v>
      </c>
      <c r="C5" s="7" t="s">
        <v>267</v>
      </c>
      <c r="D5" s="7" t="s">
        <v>268</v>
      </c>
      <c r="E5" s="7" t="s">
        <v>269</v>
      </c>
      <c r="F5" s="7" t="s">
        <v>270</v>
      </c>
      <c r="G5" s="7" t="s">
        <v>271</v>
      </c>
      <c r="H5" s="7" t="s">
        <v>272</v>
      </c>
      <c r="I5" s="8"/>
      <c r="J5" s="8" t="s">
        <v>252</v>
      </c>
      <c r="K5" s="8"/>
      <c r="L5" s="7"/>
    </row>
    <row r="6" customFormat="false" ht="330" hidden="false" customHeight="true" outlineLevel="0" collapsed="false">
      <c r="A6" s="7" t="n">
        <v>5</v>
      </c>
      <c r="B6" s="7" t="s">
        <v>273</v>
      </c>
      <c r="C6" s="7" t="s">
        <v>274</v>
      </c>
      <c r="D6" s="7" t="s">
        <v>275</v>
      </c>
      <c r="E6" s="7" t="s">
        <v>276</v>
      </c>
      <c r="F6" s="7" t="s">
        <v>277</v>
      </c>
      <c r="G6" s="7" t="s">
        <v>278</v>
      </c>
      <c r="H6" s="7" t="s">
        <v>279</v>
      </c>
      <c r="I6" s="8"/>
      <c r="J6" s="8" t="s">
        <v>252</v>
      </c>
      <c r="K6" s="8"/>
      <c r="L6" s="7"/>
    </row>
    <row r="7" customFormat="false" ht="330" hidden="false" customHeight="true" outlineLevel="0" collapsed="false">
      <c r="A7" s="7" t="n">
        <v>6</v>
      </c>
      <c r="B7" s="7" t="s">
        <v>280</v>
      </c>
      <c r="C7" s="7" t="s">
        <v>281</v>
      </c>
      <c r="D7" s="7" t="s">
        <v>282</v>
      </c>
      <c r="E7" s="7" t="s">
        <v>283</v>
      </c>
      <c r="F7" s="7" t="s">
        <v>284</v>
      </c>
      <c r="G7" s="7" t="s">
        <v>285</v>
      </c>
      <c r="H7" s="7" t="s">
        <v>286</v>
      </c>
      <c r="I7" s="8"/>
      <c r="J7" s="8" t="s">
        <v>252</v>
      </c>
      <c r="K7" s="8"/>
      <c r="L7" s="7" t="s">
        <v>287</v>
      </c>
    </row>
    <row r="8" customFormat="false" ht="330" hidden="false" customHeight="true" outlineLevel="0" collapsed="false">
      <c r="A8" s="7" t="n">
        <v>7</v>
      </c>
      <c r="B8" s="7" t="s">
        <v>183</v>
      </c>
      <c r="C8" s="7" t="s">
        <v>288</v>
      </c>
      <c r="D8" s="7" t="s">
        <v>289</v>
      </c>
      <c r="E8" s="7" t="s">
        <v>290</v>
      </c>
      <c r="F8" s="7" t="s">
        <v>291</v>
      </c>
      <c r="G8" s="7" t="s">
        <v>292</v>
      </c>
      <c r="H8" s="7" t="s">
        <v>293</v>
      </c>
      <c r="I8" s="8"/>
      <c r="J8" s="8" t="s">
        <v>252</v>
      </c>
      <c r="K8" s="8"/>
      <c r="L8" s="7" t="s">
        <v>294</v>
      </c>
    </row>
    <row r="9" customFormat="false" ht="330" hidden="false" customHeight="true" outlineLevel="0" collapsed="false">
      <c r="A9" s="7" t="n">
        <v>8</v>
      </c>
      <c r="B9" s="7" t="s">
        <v>295</v>
      </c>
      <c r="C9" s="7" t="s">
        <v>296</v>
      </c>
      <c r="D9" s="7" t="s">
        <v>297</v>
      </c>
      <c r="E9" s="7" t="s">
        <v>298</v>
      </c>
      <c r="F9" s="7" t="s">
        <v>299</v>
      </c>
      <c r="G9" s="7" t="s">
        <v>300</v>
      </c>
      <c r="H9" s="7" t="s">
        <v>301</v>
      </c>
      <c r="I9" s="8"/>
      <c r="J9" s="8" t="s">
        <v>252</v>
      </c>
      <c r="K9" s="8"/>
      <c r="L9" s="7"/>
    </row>
    <row r="10" customFormat="false" ht="330" hidden="false" customHeight="true" outlineLevel="0" collapsed="false">
      <c r="A10" s="7" t="n">
        <v>9</v>
      </c>
      <c r="B10" s="7" t="s">
        <v>302</v>
      </c>
      <c r="C10" s="7" t="s">
        <v>303</v>
      </c>
      <c r="D10" s="7" t="s">
        <v>304</v>
      </c>
      <c r="E10" s="7" t="s">
        <v>305</v>
      </c>
      <c r="F10" s="7" t="s">
        <v>306</v>
      </c>
      <c r="G10" s="7" t="s">
        <v>307</v>
      </c>
      <c r="H10" s="7" t="s">
        <v>308</v>
      </c>
      <c r="I10" s="8"/>
      <c r="J10" s="8" t="s">
        <v>252</v>
      </c>
      <c r="K10" s="8"/>
      <c r="L10" s="7" t="s">
        <v>309</v>
      </c>
    </row>
    <row r="11" customFormat="false" ht="330" hidden="false" customHeight="true" outlineLevel="0" collapsed="false">
      <c r="A11" s="7" t="n">
        <v>10</v>
      </c>
      <c r="B11" s="7" t="s">
        <v>310</v>
      </c>
      <c r="C11" s="7" t="s">
        <v>311</v>
      </c>
      <c r="D11" s="7" t="s">
        <v>312</v>
      </c>
      <c r="E11" s="7" t="s">
        <v>313</v>
      </c>
      <c r="F11" s="7" t="s">
        <v>314</v>
      </c>
      <c r="G11" s="7" t="s">
        <v>315</v>
      </c>
      <c r="H11" s="7" t="s">
        <v>316</v>
      </c>
      <c r="I11" s="8"/>
      <c r="J11" s="8" t="s">
        <v>252</v>
      </c>
      <c r="K11" s="8"/>
      <c r="L11" s="7"/>
    </row>
    <row r="12" customFormat="false" ht="330" hidden="false" customHeight="true" outlineLevel="0" collapsed="false">
      <c r="A12" s="7" t="n">
        <v>11</v>
      </c>
      <c r="B12" s="7" t="s">
        <v>317</v>
      </c>
      <c r="C12" s="7" t="s">
        <v>318</v>
      </c>
      <c r="D12" s="7" t="s">
        <v>319</v>
      </c>
      <c r="E12" s="7" t="s">
        <v>320</v>
      </c>
      <c r="F12" s="7" t="s">
        <v>321</v>
      </c>
      <c r="G12" s="7" t="s">
        <v>322</v>
      </c>
      <c r="H12" s="7" t="s">
        <v>323</v>
      </c>
      <c r="I12" s="8"/>
      <c r="J12" s="8" t="s">
        <v>252</v>
      </c>
      <c r="K12" s="8"/>
      <c r="L12" s="7" t="s">
        <v>324</v>
      </c>
    </row>
    <row r="13" customFormat="false" ht="330" hidden="false" customHeight="true" outlineLevel="0" collapsed="false">
      <c r="A13" s="7" t="n">
        <v>12</v>
      </c>
      <c r="B13" s="7" t="s">
        <v>178</v>
      </c>
      <c r="C13" s="7" t="s">
        <v>325</v>
      </c>
      <c r="D13" s="7" t="s">
        <v>326</v>
      </c>
      <c r="E13" s="7" t="s">
        <v>327</v>
      </c>
      <c r="F13" s="7" t="s">
        <v>328</v>
      </c>
      <c r="G13" s="7" t="s">
        <v>329</v>
      </c>
      <c r="H13" s="7" t="s">
        <v>330</v>
      </c>
      <c r="I13" s="8"/>
      <c r="J13" s="8" t="s">
        <v>252</v>
      </c>
      <c r="K13" s="8"/>
      <c r="L13" s="7" t="s">
        <v>331</v>
      </c>
    </row>
    <row r="14" customFormat="false" ht="330" hidden="false" customHeight="true" outlineLevel="0" collapsed="false">
      <c r="A14" s="7" t="n">
        <v>13</v>
      </c>
      <c r="B14" s="7" t="s">
        <v>332</v>
      </c>
      <c r="C14" s="7" t="s">
        <v>333</v>
      </c>
      <c r="D14" s="7" t="s">
        <v>334</v>
      </c>
      <c r="E14" s="7" t="s">
        <v>335</v>
      </c>
      <c r="F14" s="7" t="s">
        <v>336</v>
      </c>
      <c r="G14" s="7" t="s">
        <v>337</v>
      </c>
      <c r="H14" s="7" t="s">
        <v>338</v>
      </c>
      <c r="I14" s="8"/>
      <c r="J14" s="8" t="s">
        <v>252</v>
      </c>
      <c r="K14" s="8"/>
      <c r="L14" s="7"/>
    </row>
    <row r="15" customFormat="false" ht="330" hidden="false" customHeight="true" outlineLevel="0" collapsed="false">
      <c r="A15" s="7" t="n">
        <v>14</v>
      </c>
      <c r="B15" s="7" t="s">
        <v>339</v>
      </c>
      <c r="C15" s="7" t="s">
        <v>340</v>
      </c>
      <c r="D15" s="7" t="s">
        <v>341</v>
      </c>
      <c r="E15" s="7" t="s">
        <v>342</v>
      </c>
      <c r="F15" s="7" t="s">
        <v>343</v>
      </c>
      <c r="G15" s="7" t="s">
        <v>344</v>
      </c>
      <c r="H15" s="7" t="s">
        <v>345</v>
      </c>
      <c r="I15" s="8"/>
      <c r="J15" s="8" t="s">
        <v>252</v>
      </c>
      <c r="K15" s="8"/>
      <c r="L15" s="7" t="s">
        <v>346</v>
      </c>
    </row>
    <row r="16" customFormat="false" ht="330" hidden="false" customHeight="true" outlineLevel="0" collapsed="false">
      <c r="A16" s="7" t="n">
        <v>15</v>
      </c>
      <c r="B16" s="7" t="s">
        <v>347</v>
      </c>
      <c r="C16" s="7" t="s">
        <v>348</v>
      </c>
      <c r="D16" s="7" t="s">
        <v>349</v>
      </c>
      <c r="E16" s="7" t="s">
        <v>350</v>
      </c>
      <c r="F16" s="7" t="s">
        <v>351</v>
      </c>
      <c r="G16" s="7" t="s">
        <v>352</v>
      </c>
      <c r="H16" s="7" t="s">
        <v>353</v>
      </c>
      <c r="I16" s="8"/>
      <c r="J16" s="8" t="s">
        <v>252</v>
      </c>
      <c r="K16" s="8"/>
      <c r="L16" s="7" t="s">
        <v>354</v>
      </c>
    </row>
    <row r="17" customFormat="false" ht="330" hidden="false" customHeight="true" outlineLevel="0" collapsed="false">
      <c r="A17" s="7" t="n">
        <v>16</v>
      </c>
      <c r="B17" s="7" t="s">
        <v>172</v>
      </c>
      <c r="C17" s="7" t="s">
        <v>355</v>
      </c>
      <c r="D17" s="7" t="s">
        <v>356</v>
      </c>
      <c r="E17" s="7" t="s">
        <v>357</v>
      </c>
      <c r="F17" s="7" t="s">
        <v>358</v>
      </c>
      <c r="G17" s="7" t="s">
        <v>359</v>
      </c>
      <c r="H17" s="7" t="s">
        <v>360</v>
      </c>
      <c r="I17" s="8"/>
      <c r="J17" s="8" t="s">
        <v>252</v>
      </c>
      <c r="K17" s="8"/>
      <c r="L17" s="7" t="s">
        <v>361</v>
      </c>
    </row>
    <row r="18" customFormat="false" ht="330" hidden="false" customHeight="true" outlineLevel="0" collapsed="false">
      <c r="A18" s="7" t="n">
        <v>17</v>
      </c>
      <c r="B18" s="7" t="s">
        <v>168</v>
      </c>
      <c r="C18" s="7" t="s">
        <v>362</v>
      </c>
      <c r="D18" s="7" t="s">
        <v>363</v>
      </c>
      <c r="E18" s="7" t="s">
        <v>364</v>
      </c>
      <c r="F18" s="7" t="s">
        <v>365</v>
      </c>
      <c r="G18" s="7" t="s">
        <v>366</v>
      </c>
      <c r="H18" s="7" t="s">
        <v>367</v>
      </c>
      <c r="I18" s="8"/>
      <c r="J18" s="8" t="s">
        <v>252</v>
      </c>
      <c r="K18" s="8"/>
      <c r="L18" s="7" t="s">
        <v>368</v>
      </c>
    </row>
    <row r="19" customFormat="false" ht="330" hidden="false" customHeight="true" outlineLevel="0" collapsed="false">
      <c r="A19" s="7" t="n">
        <v>18</v>
      </c>
      <c r="B19" s="7" t="s">
        <v>369</v>
      </c>
      <c r="C19" s="7" t="s">
        <v>370</v>
      </c>
      <c r="D19" s="7" t="s">
        <v>371</v>
      </c>
      <c r="E19" s="7" t="s">
        <v>372</v>
      </c>
      <c r="F19" s="7" t="s">
        <v>373</v>
      </c>
      <c r="G19" s="7" t="s">
        <v>374</v>
      </c>
      <c r="H19" s="7" t="s">
        <v>375</v>
      </c>
      <c r="I19" s="8"/>
      <c r="J19" s="8" t="s">
        <v>252</v>
      </c>
      <c r="K19" s="8"/>
      <c r="L19" s="7" t="s">
        <v>376</v>
      </c>
    </row>
    <row r="20" customFormat="false" ht="330" hidden="false" customHeight="true" outlineLevel="0" collapsed="false">
      <c r="A20" s="7" t="n">
        <v>19</v>
      </c>
      <c r="B20" s="7" t="s">
        <v>377</v>
      </c>
      <c r="C20" s="7" t="s">
        <v>378</v>
      </c>
      <c r="D20" s="7" t="s">
        <v>379</v>
      </c>
      <c r="E20" s="7" t="s">
        <v>380</v>
      </c>
      <c r="F20" s="7" t="s">
        <v>381</v>
      </c>
      <c r="G20" s="7" t="s">
        <v>382</v>
      </c>
      <c r="H20" s="7" t="s">
        <v>383</v>
      </c>
      <c r="I20" s="8"/>
      <c r="J20" s="8" t="s">
        <v>252</v>
      </c>
      <c r="K20" s="8"/>
      <c r="L20" s="7"/>
    </row>
  </sheetData>
  <autoFilter ref="A1:L20"/>
  <dataValidations count="1">
    <dataValidation allowBlank="true" errorStyle="stop" operator="between" showDropDown="false" showErrorMessage="false" showInputMessage="false" sqref="J2:J20" type="list">
      <formula1>"Not run,Pass,Pass with observation,Fail,Blocked"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36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39.55" hidden="false" customHeight="false" outlineLevel="0" collapsed="false">
      <c r="A1" s="6" t="s">
        <v>235</v>
      </c>
      <c r="B1" s="6" t="s">
        <v>384</v>
      </c>
      <c r="C1" s="6" t="s">
        <v>385</v>
      </c>
      <c r="D1" s="6" t="s">
        <v>386</v>
      </c>
      <c r="E1" s="6" t="s">
        <v>387</v>
      </c>
      <c r="F1" s="6" t="s">
        <v>388</v>
      </c>
      <c r="G1" s="6" t="s">
        <v>389</v>
      </c>
      <c r="H1" s="6" t="s">
        <v>390</v>
      </c>
      <c r="I1" s="6" t="s">
        <v>391</v>
      </c>
      <c r="J1" s="6" t="s">
        <v>392</v>
      </c>
      <c r="K1" s="6" t="s">
        <v>127</v>
      </c>
    </row>
    <row r="2" customFormat="false" ht="23.85" hidden="false" customHeight="false" outlineLevel="0" collapsed="false">
      <c r="A2" s="10" t="s">
        <v>393</v>
      </c>
      <c r="B2" s="10" t="s">
        <v>394</v>
      </c>
      <c r="C2" s="10" t="s">
        <v>395</v>
      </c>
      <c r="D2" s="10" t="s">
        <v>396</v>
      </c>
      <c r="E2" s="10"/>
      <c r="F2" s="10" t="s">
        <v>397</v>
      </c>
      <c r="G2" s="10" t="s">
        <v>398</v>
      </c>
      <c r="H2" s="10" t="s">
        <v>399</v>
      </c>
      <c r="I2" s="10" t="s">
        <v>400</v>
      </c>
      <c r="J2" s="10" t="s">
        <v>401</v>
      </c>
      <c r="K2" s="10" t="s">
        <v>402</v>
      </c>
    </row>
    <row r="3" customFormat="false" ht="15" hidden="false" customHeight="false" outlineLevel="0" collapsed="false">
      <c r="A3" s="7" t="s">
        <v>246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15" hidden="false" customHeight="false" outlineLevel="0" collapsed="false">
      <c r="A4" s="7" t="s">
        <v>253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customFormat="false" ht="15" hidden="false" customHeight="false" outlineLevel="0" collapsed="false">
      <c r="A5" s="7" t="s">
        <v>195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7" t="s">
        <v>266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customFormat="false" ht="15" hidden="false" customHeight="false" outlineLevel="0" collapsed="false">
      <c r="A7" s="7" t="s">
        <v>273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5" hidden="false" customHeight="false" outlineLevel="0" collapsed="false">
      <c r="A8" s="7" t="s">
        <v>280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false" outlineLevel="0" collapsed="false">
      <c r="A9" s="7" t="s">
        <v>183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0" collapsed="false">
      <c r="A10" s="7" t="s">
        <v>295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0" collapsed="false">
      <c r="A11" s="7" t="s">
        <v>302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7" t="s">
        <v>310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0" collapsed="false">
      <c r="A13" s="7" t="s">
        <v>317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7" t="s">
        <v>178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15" hidden="false" customHeight="false" outlineLevel="0" collapsed="false">
      <c r="A15" s="7" t="s">
        <v>332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7" t="s">
        <v>339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5" hidden="false" customHeight="false" outlineLevel="0" collapsed="false">
      <c r="A17" s="7" t="s">
        <v>347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7" t="s">
        <v>172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0" collapsed="false">
      <c r="A19" s="7" t="s">
        <v>168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7" t="s">
        <v>369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A21" s="7" t="s">
        <v>377</v>
      </c>
      <c r="B21" s="8"/>
      <c r="C21" s="8"/>
      <c r="D21" s="8"/>
      <c r="E21" s="8"/>
      <c r="F21" s="8"/>
      <c r="G21" s="8"/>
      <c r="H21" s="8"/>
      <c r="I21" s="8"/>
      <c r="J21" s="8"/>
      <c r="K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50"/>
    <col collapsed="false" customWidth="true" hidden="false" outlineLevel="0" max="7" min="5" style="0" width="35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6" t="s">
        <v>73</v>
      </c>
      <c r="B1" s="6" t="s">
        <v>403</v>
      </c>
      <c r="C1" s="6" t="s">
        <v>404</v>
      </c>
      <c r="D1" s="6" t="s">
        <v>71</v>
      </c>
      <c r="E1" s="6" t="s">
        <v>405</v>
      </c>
      <c r="F1" s="6" t="s">
        <v>76</v>
      </c>
      <c r="G1" s="6" t="s">
        <v>78</v>
      </c>
      <c r="H1" s="6" t="s">
        <v>406</v>
      </c>
      <c r="I1" s="6" t="s">
        <v>407</v>
      </c>
      <c r="J1" s="6" t="s">
        <v>243</v>
      </c>
    </row>
    <row r="2" customFormat="false" ht="35.05" hidden="false" customHeight="false" outlineLevel="0" collapsed="false">
      <c r="A2" s="7" t="s">
        <v>408</v>
      </c>
      <c r="B2" s="7" t="s">
        <v>246</v>
      </c>
      <c r="C2" s="7" t="s">
        <v>409</v>
      </c>
      <c r="D2" s="7" t="s">
        <v>410</v>
      </c>
      <c r="E2" s="7" t="s">
        <v>411</v>
      </c>
      <c r="F2" s="7" t="s">
        <v>412</v>
      </c>
      <c r="G2" s="7" t="s">
        <v>413</v>
      </c>
      <c r="H2" s="7" t="s">
        <v>414</v>
      </c>
      <c r="I2" s="7"/>
      <c r="J2" s="7" t="s">
        <v>415</v>
      </c>
    </row>
    <row r="3" customFormat="false" ht="35.05" hidden="false" customHeight="false" outlineLevel="0" collapsed="false">
      <c r="A3" s="7" t="s">
        <v>416</v>
      </c>
      <c r="B3" s="7" t="s">
        <v>246</v>
      </c>
      <c r="C3" s="7" t="s">
        <v>417</v>
      </c>
      <c r="D3" s="7" t="s">
        <v>418</v>
      </c>
      <c r="E3" s="7" t="s">
        <v>419</v>
      </c>
      <c r="F3" s="7" t="s">
        <v>420</v>
      </c>
      <c r="G3" s="7" t="s">
        <v>421</v>
      </c>
      <c r="H3" s="7" t="s">
        <v>414</v>
      </c>
      <c r="I3" s="7"/>
      <c r="J3" s="7" t="s">
        <v>415</v>
      </c>
    </row>
    <row r="4" customFormat="false" ht="35.05" hidden="false" customHeight="false" outlineLevel="0" collapsed="false">
      <c r="A4" s="7" t="s">
        <v>422</v>
      </c>
      <c r="B4" s="7" t="s">
        <v>172</v>
      </c>
      <c r="C4" s="7" t="s">
        <v>417</v>
      </c>
      <c r="D4" s="7" t="s">
        <v>423</v>
      </c>
      <c r="E4" s="7" t="s">
        <v>424</v>
      </c>
      <c r="F4" s="7" t="s">
        <v>425</v>
      </c>
      <c r="G4" s="7" t="s">
        <v>426</v>
      </c>
      <c r="H4" s="7" t="s">
        <v>427</v>
      </c>
      <c r="I4" s="7"/>
      <c r="J4" s="7" t="s">
        <v>415</v>
      </c>
    </row>
    <row r="5" customFormat="false" ht="35.05" hidden="false" customHeight="false" outlineLevel="0" collapsed="false">
      <c r="A5" s="7" t="s">
        <v>428</v>
      </c>
      <c r="B5" s="7" t="s">
        <v>188</v>
      </c>
      <c r="C5" s="7" t="s">
        <v>417</v>
      </c>
      <c r="D5" s="7" t="s">
        <v>429</v>
      </c>
      <c r="E5" s="7" t="s">
        <v>430</v>
      </c>
      <c r="F5" s="7" t="s">
        <v>431</v>
      </c>
      <c r="G5" s="7" t="s">
        <v>432</v>
      </c>
      <c r="H5" s="7" t="s">
        <v>427</v>
      </c>
      <c r="I5" s="7"/>
      <c r="J5" s="7" t="s">
        <v>415</v>
      </c>
    </row>
    <row r="6" customFormat="false" ht="35.05" hidden="false" customHeight="false" outlineLevel="0" collapsed="false">
      <c r="A6" s="7" t="s">
        <v>433</v>
      </c>
      <c r="B6" s="7" t="s">
        <v>115</v>
      </c>
      <c r="C6" s="7" t="s">
        <v>417</v>
      </c>
      <c r="D6" s="7" t="s">
        <v>434</v>
      </c>
      <c r="E6" s="7" t="s">
        <v>435</v>
      </c>
      <c r="F6" s="7" t="s">
        <v>436</v>
      </c>
      <c r="G6" s="7" t="s">
        <v>437</v>
      </c>
      <c r="H6" s="7" t="s">
        <v>427</v>
      </c>
      <c r="I6" s="7"/>
      <c r="J6" s="7" t="s">
        <v>438</v>
      </c>
    </row>
    <row r="7" customFormat="false" ht="35.05" hidden="false" customHeight="false" outlineLevel="0" collapsed="false">
      <c r="A7" s="7" t="s">
        <v>439</v>
      </c>
      <c r="B7" s="7" t="s">
        <v>188</v>
      </c>
      <c r="C7" s="7" t="s">
        <v>417</v>
      </c>
      <c r="D7" s="7" t="s">
        <v>440</v>
      </c>
      <c r="E7" s="7" t="s">
        <v>441</v>
      </c>
      <c r="F7" s="7" t="s">
        <v>188</v>
      </c>
      <c r="G7" s="7" t="s">
        <v>188</v>
      </c>
      <c r="H7" s="7" t="s">
        <v>442</v>
      </c>
      <c r="I7" s="7"/>
      <c r="J7" s="7" t="s">
        <v>415</v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1" t="s">
        <v>243</v>
      </c>
      <c r="B1" s="11" t="s">
        <v>443</v>
      </c>
    </row>
    <row r="2" customFormat="false" ht="15" hidden="false" customHeight="false" outlineLevel="0" collapsed="false">
      <c r="A2" s="7" t="s">
        <v>50</v>
      </c>
      <c r="B2" s="7" t="n">
        <f aca="false">COUNTIF('Test Cases'!$J$5:$J$20,A2)</f>
        <v>0</v>
      </c>
    </row>
    <row r="3" customFormat="false" ht="15" hidden="false" customHeight="false" outlineLevel="0" collapsed="false">
      <c r="A3" s="7" t="s">
        <v>52</v>
      </c>
      <c r="B3" s="7" t="n">
        <f aca="false">COUNTIF('Test Cases'!$J$5:$J$20,A3)</f>
        <v>0</v>
      </c>
    </row>
    <row r="4" customFormat="false" ht="15" hidden="false" customHeight="false" outlineLevel="0" collapsed="false">
      <c r="A4" s="7" t="s">
        <v>54</v>
      </c>
      <c r="B4" s="7" t="n">
        <f aca="false">COUNTIF('Test Cases'!$J$5:$J$20,A4)</f>
        <v>0</v>
      </c>
    </row>
    <row r="5" customFormat="false" ht="15" hidden="false" customHeight="false" outlineLevel="0" collapsed="false">
      <c r="A5" s="7" t="s">
        <v>56</v>
      </c>
      <c r="B5" s="7" t="n">
        <f aca="false">COUNTIF('Test Cases'!$J$5:$J$20,A5)</f>
        <v>0</v>
      </c>
    </row>
    <row r="6" customFormat="false" ht="15" hidden="false" customHeight="false" outlineLevel="0" collapsed="false">
      <c r="A6" s="7" t="s">
        <v>252</v>
      </c>
      <c r="B6" s="7" t="n">
        <f aca="false">COUNTIF('Test Cases'!$J$5:$J$20,A6)</f>
        <v>16</v>
      </c>
    </row>
    <row r="7" customFormat="false" ht="15" hidden="false" customHeight="false" outlineLevel="0" collapsed="false">
      <c r="A7" s="12" t="s">
        <v>444</v>
      </c>
      <c r="B7" s="7" t="n">
        <f aca="false">SUM(B2:B6)</f>
        <v>16</v>
      </c>
    </row>
    <row r="8" customFormat="false" ht="15" hidden="false" customHeight="false" outlineLevel="0" collapsed="false">
      <c r="A8" s="7" t="s">
        <v>445</v>
      </c>
      <c r="B8" s="13" t="n">
        <f aca="false">IF(B7=0,0,(B7-B6)/B7)</f>
        <v>0</v>
      </c>
    </row>
    <row r="10" customFormat="false" ht="68.65" hidden="false" customHeight="false" outlineLevel="0" collapsed="false">
      <c r="A10" s="7" t="s">
        <v>446</v>
      </c>
      <c r="B10" s="7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2026-09-29T08:06:11Z</dcterms:created>
  <dc:creator>openpyxl</dc:creator>
  <dc:description/>
  <dc:language>en-US</dc:language>
  <cp:lastModifiedBy/>
  <dcterms:modified xsi:type="dcterms:W3CDTF">2026-09-29T08:06:11Z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
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S01" sheetId="3" state="visible" r:id="rId5"/>
    <sheet name="S02" sheetId="4" state="visible" r:id="rId6"/>
    <sheet name="S03" sheetId="5" state="visible" r:id="rId7"/>
    <sheet name="S04" sheetId="6" state="visible" r:id="rId8"/>
    <sheet name="S05" sheetId="7" state="visible" r:id="rId9"/>
    <sheet name="S06" sheetId="8" state="visible" r:id="rId10"/>
    <sheet name="S07" sheetId="9" state="visible" r:id="rId11"/>
    <sheet name="S08" sheetId="10" state="visible" r:id="rId12"/>
    <sheet name="S10" sheetId="11" state="visible" r:id="rId13"/>
    <sheet name="S11" sheetId="12" state="visible" r:id="rId14"/>
    <sheet name="S12" sheetId="13" state="visible" r:id="rId15"/>
    <sheet name="S13" sheetId="14" state="visible" r:id="rId16"/>
    <sheet name="S14" sheetId="15" state="visible" r:id="rId17"/>
    <sheet name="S15" sheetId="16" state="visible" r:id="rId18"/>
    <sheet name="S09" sheetId="17" state="visible" r:id="rId19"/>
    <sheet name="S16" sheetId="18" state="visible" r:id="rId20"/>
    <sheet name="Defects" sheetId="19" state="visible" r:id="rId21"/>
  </sheets>
  <definedNames>
    <definedName function="false" hidden="false" name="API_URL" vbProcedure="false">'Start Here'!$C$38</definedName>
    <definedName function="false" hidden="false" name="GCS_FOLDER" vbProcedure="false">'Start Here'!$C$37</definedName>
    <definedName function="false" hidden="false" name="GCS_HTML" vbProcedure="false">'Start Here'!$C$36</definedName>
    <definedName function="false" hidden="false" name="GCS_JSON" vbProcedure="false">'Start Here'!$C$34</definedName>
    <definedName function="false" hidden="false" name="GCS_MD" vbProcedure="false">'Start Here'!$C$35</definedName>
    <definedName function="false" hidden="false" name="ID_AA" vbProcedure="false">'Start Here'!$C$26</definedName>
    <definedName function="false" hidden="false" name="ID_B" vbProcedure="false">'Start Here'!$C$27</definedName>
    <definedName function="false" hidden="false" name="ID_C" vbProcedure="false">'Start Here'!$C$28</definedName>
    <definedName function="false" hidden="false" name="ID_PA" vbProcedure="false">'Start Here'!$C$24</definedName>
    <definedName function="false" hidden="false" name="ID_PB" vbProcedure="false">'Start Here'!$C$25</definedName>
    <definedName function="false" hidden="false" name="ID_REAL" vbProcedure="false">'Start Here'!$C$32</definedName>
    <definedName function="false" hidden="false" name="ID_ROOT" vbProcedure="false">'Start Here'!$C$22</definedName>
    <definedName function="false" hidden="false" name="ID_S1" vbProcedure="false">'Start Here'!$C$33</definedName>
    <definedName function="false" hidden="false" name="ID_S14" vbProcedure="false">'Start Here'!$C$30</definedName>
    <definedName function="false" hidden="false" name="ID_S15" vbProcedure="false">'Start Here'!$C$31</definedName>
    <definedName function="false" hidden="false" name="ID_S5" vbProcedure="false">'Start Here'!$C$29</definedName>
    <definedName function="false" hidden="false" name="ID_TA" vbProcedure="false">'Start Here'!$C$23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<sst xmlns="http://schemas.openxmlformats.org/spreadsheetml/2006/main" count="1026" uniqueCount="431">
  <si>
    <t xml:space="preserve">Preprocessing Pipeline – INT Incremental Update Tests (16 scenarios)</t>
  </si>
  <si>
    <t xml:space="preserve">How to use</t>
  </si>
  <si>
    <t xml:space="preserve">1. Fill the YELLOW values in the table below once (bucket names, API URL, new page IDs). Every query in this workbook updates automatically.</t>
  </si>
  <si>
    <t xml:space="preserve">2. Do the 'Setup' sheet once. Then do the scenario sheets in the RUN ORDER shown at the bottom (tabs are already in that order).</t>
  </si>
  <si>
    <t xml:space="preserve">3. In each scenario sheet, follow the steps top to bottom. Column D is ready to copy: click the cell, Ctrl+C, paste into Spanner Studio / Bruno / GCS filter.</t>
  </si>
  <si>
    <t xml:space="preserve">4. Step 1 of every sheet gives you a start time: paste it into the yellow 'Start time' cell at the top of that sheet – the queries below it use it.</t>
  </si>
  <si>
    <t xml:space="preserve">5. Write what you see in 'Actual result', mark each step Pass/Fail, then set the sheet's 'Overall result'. Evidence: Spanner Studio → Results → Export → CSV (or screenshot).</t>
  </si>
  <si>
    <t xml:space="preserve">6. If a Bruno call fails (API not available on INT), wait for the scheduled run (every 30 min) instead and continue from the 'Confirm the pipeline finished' step.</t>
  </si>
  <si>
    <t xml:space="preserve">7. Only edit the QA test pages under Test Area. Never edit real content, and never touch 'QE' / 'Sanity Tests'.</t>
  </si>
  <si>
    <t xml:space="preserve">Tip: queries are on one line so they copy cleanly – press 'Format' in Spanner Studio to make them readable.</t>
  </si>
  <si>
    <t xml:space="preserve">Environment</t>
  </si>
  <si>
    <t xml:space="preserve">Athena (INT)</t>
  </si>
  <si>
    <t xml:space="preserve">https://lloyds-banking-test.eu1prod.expert.nicecxone.com → Customer Vulnerability Hub 2 › Vulnerabilities › Test Area</t>
  </si>
  <si>
    <t xml:space="preserve">Spanner Studio</t>
  </si>
  <si>
    <t xml:space="preserve">https://console.cloud.google.com/spanner/instances/ew2-int-wrk01-spi-ka-spanner/databases/hive-int-context-layer-db/details/query?project=wrk-int-wrk01-svp-dfadf4</t>
  </si>
  <si>
    <t xml:space="preserve">GCP project / instance / DB</t>
  </si>
  <si>
    <t xml:space="preserve">wrk-int-wrk01-svp-dfadf4 / ew2-int-wrk01-spi-ka-spanner / hive-int-context-layer-db</t>
  </si>
  <si>
    <t xml:space="preserve">GCS</t>
  </si>
  <si>
    <t xml:space="preserve">Console → Cloud Storage → Buckets</t>
  </si>
  <si>
    <t xml:space="preserve">Bruno</t>
  </si>
  <si>
    <t xml:space="preserve">Collection hive-knowledge-preprocessing → environment INT → requests: incremental-job, job-status</t>
  </si>
  <si>
    <t xml:space="preserve">Values used by the queries  (yellow = fill in; grey = already known)</t>
  </si>
  <si>
    <t xml:space="preserve">#</t>
  </si>
  <si>
    <t xml:space="preserve">What</t>
  </si>
  <si>
    <t xml:space="preserve">Value</t>
  </si>
  <si>
    <t xml:space="preserve">Where to get it</t>
  </si>
  <si>
    <t xml:space="preserve">Name</t>
  </si>
  <si>
    <t xml:space="preserve">Tracked root: Customer Vulnerability Hub 2</t>
  </si>
  <si>
    <t xml:space="preserve">39960</t>
  </si>
  <si>
    <t xml:space="preserve">Known</t>
  </si>
  <si>
    <t xml:space="preserve">ID_ROOT</t>
  </si>
  <si>
    <t xml:space="preserve">Test Area page</t>
  </si>
  <si>
    <t xml:space="preserve">43599</t>
  </si>
  <si>
    <t xml:space="preserve">ID_TA</t>
  </si>
  <si>
    <t xml:space="preserve">Parent A page</t>
  </si>
  <si>
    <t xml:space="preserve">43601</t>
  </si>
  <si>
    <t xml:space="preserve">ID_PA</t>
  </si>
  <si>
    <t xml:space="preserve">Parent B page</t>
  </si>
  <si>
    <t xml:space="preserve">43603</t>
  </si>
  <si>
    <t xml:space="preserve">ID_PB</t>
  </si>
  <si>
    <t xml:space="preserve">Child AA page</t>
  </si>
  <si>
    <t xml:space="preserve">43609</t>
  </si>
  <si>
    <t xml:space="preserve">ID_AA</t>
  </si>
  <si>
    <t xml:space="preserve">Child B page</t>
  </si>
  <si>
    <t xml:space="preserve">43607</t>
  </si>
  <si>
    <t xml:space="preserve">ID_B</t>
  </si>
  <si>
    <t xml:space="preserve">Child C page</t>
  </si>
  <si>
    <t xml:space="preserve">&lt;CHILD_C_ID&gt;</t>
  </si>
  <si>
    <t xml:space="preserve">Setup sheet, step 9</t>
  </si>
  <si>
    <t xml:space="preserve">ID_C</t>
  </si>
  <si>
    <t xml:space="preserve">QA Delete Me S5 page</t>
  </si>
  <si>
    <t xml:space="preserve">&lt;S5_ID&gt;</t>
  </si>
  <si>
    <t xml:space="preserve">ID_S5</t>
  </si>
  <si>
    <t xml:space="preserve">QA Link Target S14 page</t>
  </si>
  <si>
    <t xml:space="preserve">&lt;S14_ID&gt;</t>
  </si>
  <si>
    <t xml:space="preserve">ID_S14</t>
  </si>
  <si>
    <t xml:space="preserve">QA Multi-Link S15 page</t>
  </si>
  <si>
    <t xml:space="preserve">&lt;S15_ID&gt;</t>
  </si>
  <si>
    <t xml:space="preserve">ID_S15</t>
  </si>
  <si>
    <t xml:space="preserve">External Support (real page, link target only)</t>
  </si>
  <si>
    <t xml:space="preserve">&lt;REAL_ID&gt;</t>
  </si>
  <si>
    <t xml:space="preserve">Setup sheet, step 10</t>
  </si>
  <si>
    <t xml:space="preserve">ID_REAL</t>
  </si>
  <si>
    <t xml:space="preserve">QA New Page S1 page</t>
  </si>
  <si>
    <t xml:space="preserve">&lt;S1_ID&gt;</t>
  </si>
  <si>
    <t xml:space="preserve">S01 step 5</t>
  </si>
  <si>
    <t xml:space="preserve">ID_S1</t>
  </si>
  <si>
    <t xml:space="preserve">GCS bucket – JSON (metadata.json)</t>
  </si>
  <si>
    <t xml:space="preserve">&lt;JSON_BUCKET&gt;</t>
  </si>
  <si>
    <t xml:space="preserve">Setup sheet, step 4</t>
  </si>
  <si>
    <t xml:space="preserve">GCS_JSON</t>
  </si>
  <si>
    <t xml:space="preserve">GCS bucket – Markdown (page.md)</t>
  </si>
  <si>
    <t xml:space="preserve">&lt;MD_BUCKET&gt;</t>
  </si>
  <si>
    <t xml:space="preserve">GCS_MD</t>
  </si>
  <si>
    <t xml:space="preserve">GCS bucket – HTML (page.html)</t>
  </si>
  <si>
    <t xml:space="preserve">&lt;HTML_BUCKET&gt;</t>
  </si>
  <si>
    <t xml:space="preserve">GCS_HTML</t>
  </si>
  <si>
    <t xml:space="preserve">GCS top-level folder inside the buckets</t>
  </si>
  <si>
    <t xml:space="preserve">&lt;FOLDER&gt;</t>
  </si>
  <si>
    <t xml:space="preserve">GCS_FOLDER</t>
  </si>
  <si>
    <t xml:space="preserve">Pipeline API base URL (INT)</t>
  </si>
  <si>
    <t xml:space="preserve">&lt;INT_BASE_URL&gt;</t>
  </si>
  <si>
    <t xml:space="preserve">Setup sheet, step 1 (ask dev)</t>
  </si>
  <si>
    <t xml:space="preserve">API_URL</t>
  </si>
  <si>
    <t xml:space="preserve">Run order and results</t>
  </si>
  <si>
    <t xml:space="preserve">Sheet</t>
  </si>
  <si>
    <t xml:space="preserve">Scenario</t>
  </si>
  <si>
    <t xml:space="preserve">Pages used</t>
  </si>
  <si>
    <t xml:space="preserve">Result</t>
  </si>
  <si>
    <t xml:space="preserve">0</t>
  </si>
  <si>
    <t xml:space="preserve">Setup</t>
  </si>
  <si>
    <t xml:space="preserve">do once before any scenario</t>
  </si>
  <si>
    <t xml:space="preserve">Test Area and all QA pages</t>
  </si>
  <si>
    <t xml:space="preserve">S01</t>
  </si>
  <si>
    <t xml:space="preserve">New page created under a tracked root</t>
  </si>
  <si>
    <t xml:space="preserve">S02</t>
  </si>
  <si>
    <t xml:space="preserve">Existing page body text changed</t>
  </si>
  <si>
    <t xml:space="preserve">S03</t>
  </si>
  <si>
    <t xml:space="preserve">Existing page updated: a link removed</t>
  </si>
  <si>
    <t xml:space="preserve">S04</t>
  </si>
  <si>
    <t xml:space="preserve">Existing page updated: a new link added</t>
  </si>
  <si>
    <t xml:space="preserve">S05</t>
  </si>
  <si>
    <t xml:space="preserve">Page hard-removed from Athena</t>
  </si>
  <si>
    <t xml:space="preserve">S06</t>
  </si>
  <si>
    <t xml:space="preserve">Metadata-only change (title only)</t>
  </si>
  <si>
    <t xml:space="preserve">S07</t>
  </si>
  <si>
    <t xml:space="preserve">Multiple rapid updates to the same page</t>
  </si>
  <si>
    <t xml:space="preserve">S08</t>
  </si>
  <si>
    <t xml:space="preserve">Content reverted to a previous revision</t>
  </si>
  <si>
    <t xml:space="preserve">S10</t>
  </si>
  <si>
    <t xml:space="preserve">Page moved to a different parent</t>
  </si>
  <si>
    <t xml:space="preserve">S11</t>
  </si>
  <si>
    <t xml:space="preserve">No-op change (saved without changes)</t>
  </si>
  <si>
    <t xml:space="preserve">S12</t>
  </si>
  <si>
    <t xml:space="preserve">Pipeline triggered when there are no Athena changes</t>
  </si>
  <si>
    <t xml:space="preserve">All Test Area pages</t>
  </si>
  <si>
    <t xml:space="preserve">S13</t>
  </si>
  <si>
    <t xml:space="preserve">Same page processed repeatedly (idempotency)</t>
  </si>
  <si>
    <t xml:space="preserve">S14</t>
  </si>
  <si>
    <t xml:space="preserve">Hyperlink target page deleted</t>
  </si>
  <si>
    <t xml:space="preserve">S15</t>
  </si>
  <si>
    <t xml:space="preserve">Page with multiple links updated (remove / keep / add)</t>
  </si>
  <si>
    <t xml:space="preserve">S09</t>
  </si>
  <si>
    <t xml:space="preserve">Page fails during processing (needs dev support)</t>
  </si>
  <si>
    <t xml:space="preserve">S16</t>
  </si>
  <si>
    <t xml:space="preserve">Previously failed page reprocessed successfully</t>
  </si>
  <si>
    <t xml:space="preserve">Pass</t>
  </si>
  <si>
    <t xml:space="preserve">Pass with observation</t>
  </si>
  <si>
    <t xml:space="preserve">Fail</t>
  </si>
  <si>
    <t xml:space="preserve">Blocked</t>
  </si>
  <si>
    <t xml:space="preserve">Not run</t>
  </si>
  <si>
    <t xml:space="preserve">Total scenarios</t>
  </si>
  <si>
    <t xml:space="preserve">SETUP – do once before any scenario</t>
  </si>
  <si>
    <t xml:space="preserve">Goal</t>
  </si>
  <si>
    <t xml:space="preserve">Check INT is ready, build the test content in Athena, run the pipeline once, and record page IDs.</t>
  </si>
  <si>
    <t xml:space="preserve">Start time (UTC)</t>
  </si>
  <si>
    <t xml:space="preserve">&lt;paste start time from step 1&gt;</t>
  </si>
  <si>
    <t xml:space="preserve">Overall result</t>
  </si>
  <si>
    <t xml:space="preserve">Step</t>
  </si>
  <si>
    <t xml:space="preserve">Where</t>
  </si>
  <si>
    <t xml:space="preserve">What to do</t>
  </si>
  <si>
    <t xml:space="preserve">Copy this (query / path / URL)</t>
  </si>
  <si>
    <t xml:space="preserve">Expected result (fields &amp; values)</t>
  </si>
  <si>
    <t xml:space="preserve">Actual result</t>
  </si>
  <si>
    <t xml:space="preserve">Pass / Fail</t>
  </si>
  <si>
    <t xml:space="preserve">Dev / Teams</t>
  </si>
  <si>
    <t xml:space="preserve">Ask the dev team to confirm: (1) the new build is deployed to INT, (2) database migration applied, (3) the INT API base URL for Bruno, (4) who can create a controlled failure for S09. Put the URL on 'Start Here'.</t>
  </si>
  <si>
    <t xml:space="preserve">-</t>
  </si>
  <si>
    <t xml:space="preserve">All 4 confirmed.</t>
  </si>
  <si>
    <t xml:space="preserve">Check the tables exist.</t>
  </si>
  <si>
    <t xml:space="preserve">SELECT table_name FROM information_schema.tables WHERE table_schema = '' ORDER BY table_name</t>
  </si>
  <si>
    <t xml:space="preserve">List includes: job, page, page_audit, page_dependency, page_since. If 'job' is missing → STOP (INT not upgraded yet; it was missing on 29-Sep).</t>
  </si>
  <si>
    <t xml:space="preserve">Check the audit table has the new column.</t>
  </si>
  <si>
    <t xml:space="preserve">SELECT COUNT(*) AS n FROM information_schema.columns WHERE table_name = 'page_audit' AND column_name = 'job_type'</t>
  </si>
  <si>
    <t xml:space="preserve">n = 1. If 0 → STOP (old schema).</t>
  </si>
  <si>
    <t xml:space="preserve">GCS (Console)</t>
  </si>
  <si>
    <t xml:space="preserve">Find the 3 buckets used by the pipeline (HTML, JSON, Markdown) and the top-level folder inside them. Open the JSON bucket and look for a folder containing 43609. Write the names on 'Start Here'.</t>
  </si>
  <si>
    <t xml:space="preserve">Bucket names and folder recorded on 'Start Here'.</t>
  </si>
  <si>
    <t xml:space="preserve">Athena</t>
  </si>
  <si>
    <t xml:space="preserve">Build the test content: edit / create every page in the table 'Test content' at the bottom of this sheet. Paste the body text exactly and add the links listed. Create the 3 new pages under Parent A. Do NOT create 'QA New Page S1' yet.</t>
  </si>
  <si>
    <t xml:space="preserve">All pages exist in Athena with the given text and links.</t>
  </si>
  <si>
    <t xml:space="preserve">Record the start time. Run the query, copy the value and paste it into the yellow 'Start time' cell (C4) at the top of this sheet.</t>
  </si>
  <si>
    <t xml:space="preserve">SELECT CURRENT_TIMESTAMP() AS start_time</t>
  </si>
  <si>
    <t xml:space="preserve">One value like 2026-10-01T09:15:02.123456Z. After pasting it into C4, the queries below show it automatically.</t>
  </si>
  <si>
    <t xml:space="preserve">Trigger the pipeline: open Bruno → collection hive-knowledge-preprocessing → environment INT → request 'incremental-job' → Send. Copy the job_id from the response. Open request 'job-status', put the job_id at the end of the URL, Send every ~1 minute until status is SUCCESS.</t>
  </si>
  <si>
    <t xml:space="preserve">incremental-job returns a job_id. job-status ends with status = SUCCESS (not FAILED). If FAILED: screenshot the response, mark this sheet Fail, log a defect.</t>
  </si>
  <si>
    <t xml:space="preserve">Confirm the pipeline finished (a new run for root 39960 after your start time).</t>
  </si>
  <si>
    <t xml:space="preserve">At least 1 row: page_id = 39960, status = COMPLETED, ingested_at later than your start time. No row yet → wait a minute and re-run.</t>
  </si>
  <si>
    <t xml:space="preserve">Get the page IDs of the Test Area pages. Copy the IDs of Child C, QA Delete Me S5, QA Link Target S14, QA Multi-Link S15 into the yellow cells on 'Start Here'.</t>
  </si>
  <si>
    <t xml:space="preserve">SELECT page_id, title, page_type, revision, path, summary IS NOT NULL AS has_summary, ingested_at FROM page WHERE path LIKE 'Customer_Vulnerability_Hub_2/Vulnerabilities/Test_Area%' ORDER BY path</t>
  </si>
  <si>
    <t xml:space="preserve">Rows for: Test Area 43599, Parent A 43601, Parent B 43603, Child AA 43609 (path now ends /Parent_B/Child_AA), Child B 43607, Child C, QA Delete Me S5, QA Link Target S14, QA Multi-Link S15. has_summary = true for the content pages. Child A (43605) should NOT be listed if it no longer exists in Athena (if it is → log observation).</t>
  </si>
  <si>
    <t xml:space="preserve">Get the ID of the real page 'External Support' and put it on 'Start Here'.</t>
  </si>
  <si>
    <t xml:space="preserve">SELECT page_id, title, path FROM page WHERE title = 'External Support' AND path LIKE 'Customer_Vulnerability_Hub_2%'</t>
  </si>
  <si>
    <t xml:space="preserve">1 row.</t>
  </si>
  <si>
    <t xml:space="preserve">Save the baseline of all Test Area links (Export → CSV, name it Setup_links_baseline).</t>
  </si>
  <si>
    <t xml:space="preserve">Parent A → Child AA, QA Link Target S14 (internal) + subpage rows to its child pages. Parent B → Child B (internal) + subpage rows to Child AA, Child B, Child C. Child AA → Child B, Child C, External Support (internal) and '00000' (external). Child C → Child B. QA Multi-Link S15 → Child AA, Child B, Child C. is_broken = false everywhere.</t>
  </si>
  <si>
    <t xml:space="preserve">Cloud Storage → Buckets → open the bucket shown → in 'Filter by name prefix' paste the path → open metadata.json.</t>
  </si>
  <si>
    <t xml:space="preserve">File exists and its 'Updated' time is after your start time.</t>
  </si>
  <si>
    <t xml:space="preserve">Test content (used by Setup step 5) – build exactly this in Athena under Test Area</t>
  </si>
  <si>
    <t xml:space="preserve">Page</t>
  </si>
  <si>
    <t xml:space="preserve">Where / action</t>
  </si>
  <si>
    <t xml:space="preserve">Body text to paste</t>
  </si>
  <si>
    <t xml:space="preserve">Links to add (text → internal page)</t>
  </si>
  <si>
    <t xml:space="preserve">Used in</t>
  </si>
  <si>
    <t xml:space="preserve">Parent A</t>
  </si>
  <si>
    <t xml:space="preserve">Test Area → edit body</t>
  </si>
  <si>
    <t xml:space="preserve">QA-ZX91 Parent A. Test content for preprocessing pipeline testing only – not real guidance.
Overview: This section groups QA test pages. See Child AA and the Link target page.</t>
  </si>
  <si>
    <t xml:space="preserve">'Child AA' → Child AA
'Link target' → QA Link Target S14 (add after creating it)</t>
  </si>
  <si>
    <t xml:space="preserve">S04, S10, S14</t>
  </si>
  <si>
    <t xml:space="preserve">Parent B</t>
  </si>
  <si>
    <t xml:space="preserve">QA-ZX91 Parent B. Test content for preprocessing pipeline testing only – not real guidance.
Overview: This section holds the child pages used for update tests. See Child B.</t>
  </si>
  <si>
    <t xml:space="preserve">'Child B' → Child B</t>
  </si>
  <si>
    <t xml:space="preserve">S08, S10</t>
  </si>
  <si>
    <t xml:space="preserve">Child AA</t>
  </si>
  <si>
    <t xml:space="preserve">under Parent B → edit body</t>
  </si>
  <si>
    <t xml:space="preserve">QA-ZX91 Child AA procedure. Test content only – not real guidance.
Step 1: The colleague opens the QA test record and checks the reference.
Step 2: The colleague follows the next steps in Child B and Child C. See also External Support and the Example site.</t>
  </si>
  <si>
    <t xml:space="preserve">'Child B' → Child B
'Child C' → Child C
'External Support' → External Support (real page)
'Example site' → https://example.com/qa-zx91</t>
  </si>
  <si>
    <t xml:space="preserve">S02, S03, S04</t>
  </si>
  <si>
    <t xml:space="preserve">Child B</t>
  </si>
  <si>
    <t xml:space="preserve">QA-ZX91 Child B reference. Test content only – not real guidance.
Details: Reference information for the QA test record.</t>
  </si>
  <si>
    <t xml:space="preserve">(none)</t>
  </si>
  <si>
    <t xml:space="preserve">S06, S09, S11, S16</t>
  </si>
  <si>
    <t xml:space="preserve">Child C</t>
  </si>
  <si>
    <t xml:space="preserve">QA-ZX91 Child C reference. Test content only – not real guidance.
Details: Additional reference information. See Child B.</t>
  </si>
  <si>
    <t xml:space="preserve">S07, S10</t>
  </si>
  <si>
    <t xml:space="preserve">QA Delete Me S5</t>
  </si>
  <si>
    <t xml:space="preserve">under Parent A → CREATE</t>
  </si>
  <si>
    <t xml:space="preserve">QA-ZX91 page to be deleted in scenario S5. Test content only.</t>
  </si>
  <si>
    <t xml:space="preserve">QA Link Target S14</t>
  </si>
  <si>
    <t xml:space="preserve">QA-ZX91 link target – will be deleted in scenario S14. Test content only.</t>
  </si>
  <si>
    <t xml:space="preserve">QA Multi-Link S15</t>
  </si>
  <si>
    <t xml:space="preserve">QA-ZX91 multi-link test page. Test content only.
Related: Child AA, Child B, Child C.</t>
  </si>
  <si>
    <t xml:space="preserve">'Child AA' → Child AA
'Child B' → Child B
'Child C' → Child C</t>
  </si>
  <si>
    <t xml:space="preserve">QE / Sanity Tests</t>
  </si>
  <si>
    <t xml:space="preserve">DO NOT TOUCH</t>
  </si>
  <si>
    <t xml:space="preserve">S01 – New page created under a tracked root</t>
  </si>
  <si>
    <t xml:space="preserve">A new Athena page is picked up, tagged by the LLM and stored in Spanner + GCS with its links.</t>
  </si>
  <si>
    <t xml:space="preserve">Go to Test Area → Parent A → New → New page. Title: QA New Page S1.
Body (paste exactly):
QA-ZX91 New Page S1. Test content only – not real guidance.
Overview: This page was created to test new-page detection. See Child B.
Select the words 'Child B' → Link → choose internal page Child B. Publish.</t>
  </si>
  <si>
    <t xml:space="preserve">Page published under Parent A.</t>
  </si>
  <si>
    <t xml:space="preserve">Find the new page and copy its page_id into 'Start Here' (QA New Page S1).</t>
  </si>
  <si>
    <t xml:space="preserve">SELECT page_id, title, path, revision FROM page WHERE title = 'QA New Page S1'</t>
  </si>
  <si>
    <t xml:space="preserve">Exactly 1 row. path = Customer_Vulnerability_Hub_2/Vulnerabilities/Test_Area/Parent_A/QA_New_Page_S1 (or Athena's URL for it). revision = the revision shown in Athena page history.</t>
  </si>
  <si>
    <t xml:space="preserve">Check the page row and its LLM metadata.</t>
  </si>
  <si>
    <t xml:space="preserve">title = QA New Page S1 · deleted = false · unpublished = false · content_size &gt; 0 · summary not empty · primary_intents has at least 1 value · confidence_score between 0 and 1 · source_object_name not empty · ingested_at after start time.</t>
  </si>
  <si>
    <t xml:space="preserve">Check the link from the new page to Child B.</t>
  </si>
  <si>
    <t xml:space="preserve">Check the parent (Parent A) now links to the new page.</t>
  </si>
  <si>
    <t xml:space="preserve">Check the audit trail.</t>
  </si>
  <si>
    <t xml:space="preserve">At least 1 row · job_type = incremental · last row status = completed · has_errors = false · no row with status = failed.</t>
  </si>
  <si>
    <t xml:space="preserve">Exists, Updated after start time. Download it: contains "QA New Page S1" and the Child B link.</t>
  </si>
  <si>
    <t xml:space="preserve">Cloud Storage → Buckets → open the bucket shown → in 'Filter by name prefix' paste the path → open page.md.</t>
  </si>
  <si>
    <t xml:space="preserve">Exists, Updated after start time; text contains 'QA-ZX91 New Page S1'.</t>
  </si>
  <si>
    <t xml:space="preserve">Cloud Storage → Buckets → open the bucket shown → in 'Filter by name prefix' paste the path → open page.html.</t>
  </si>
  <si>
    <t xml:space="preserve">Exists, Updated after start time.</t>
  </si>
  <si>
    <t xml:space="preserve">S02 – Existing page body text changed</t>
  </si>
  <si>
    <t xml:space="preserve">Editing the body of an existing page updates the SAME Spanner row (no duplicate) and refreshes the summary and GCS files.</t>
  </si>
  <si>
    <t xml:space="preserve">BEFORE: save the current state (Export → CSV, name S02_before).</t>
  </si>
  <si>
    <t xml:space="preserve">1 row. Note revision and content_size in 'Actual result'.</t>
  </si>
  <si>
    <t xml:space="preserve">Open Child AA → Edit. Replace the Step 1 sentence with:
QA-ZX91 Step 1 UPDATED for S2: the colleague must record the test reference number.
Do not change links. Publish.</t>
  </si>
  <si>
    <t xml:space="preserve">Athena shows a new revision.</t>
  </si>
  <si>
    <t xml:space="preserve">AFTER: check the page row changed.</t>
  </si>
  <si>
    <t xml:space="preserve">revision higher than BEFORE (= Athena) · content_size different from BEFORE · date_modified newer · summary not empty (refreshed) · ingested_at after start time.</t>
  </si>
  <si>
    <t xml:space="preserve">Check there is still only one row for the page.</t>
  </si>
  <si>
    <t xml:space="preserve">n = 1.</t>
  </si>
  <si>
    <t xml:space="preserve">Check links did not change.</t>
  </si>
  <si>
    <t xml:space="preserve">job_type = incremental · last status = completed · has_errors = false · no failed rows.</t>
  </si>
  <si>
    <t xml:space="preserve">Updated after start time. Text contains 'UPDATED for S2'.</t>
  </si>
  <si>
    <t xml:space="preserve">Updated after start time.</t>
  </si>
  <si>
    <t xml:space="preserve">S03 – Existing page updated: a link removed</t>
  </si>
  <si>
    <t xml:space="preserve">When a hyperlink is removed from a page, its row in page_dependency is removed too (no stale link).</t>
  </si>
  <si>
    <t xml:space="preserve">BEFORE: save the current links (Export → CSV, name S03_before).</t>
  </si>
  <si>
    <t xml:space="preserve">Open Child AA → Edit. Delete the words 'Child C' together with their link. Publish.</t>
  </si>
  <si>
    <t xml:space="preserve">New revision in Athena.</t>
  </si>
  <si>
    <t xml:space="preserve">Check the Child C link is gone.</t>
  </si>
  <si>
    <t xml:space="preserve">stale_rows = 0.  If 1 → FAIL: stale dependency row (known risk – log a defect).</t>
  </si>
  <si>
    <t xml:space="preserve">Check the other links are still there.</t>
  </si>
  <si>
    <t xml:space="preserve">Check the page was updated.</t>
  </si>
  <si>
    <t xml:space="preserve">revision higher than before · ingested_at after start time.</t>
  </si>
  <si>
    <t xml:space="preserve">last status = completed · no failed rows.</t>
  </si>
  <si>
    <t xml:space="preserve">S04 – Existing page updated: a new link added</t>
  </si>
  <si>
    <t xml:space="preserve">When a hyperlink is added, a new page_dependency row is created with an LLM relationship label.</t>
  </si>
  <si>
    <t xml:space="preserve">BEFORE: count the current links.</t>
  </si>
  <si>
    <t xml:space="preserve">Note the number in 'Actual result'.</t>
  </si>
  <si>
    <t xml:space="preserve">Open Child AA → Edit. Add a new sentence at the end: 'Go to Parent A' and link the words 'Parent A' to the internal page Parent A. Publish.</t>
  </si>
  <si>
    <t xml:space="preserve">Check the new link row.</t>
  </si>
  <si>
    <t xml:space="preserve">Exactly 1 row · type = internal · relationship_label = one of escalation / next_step / prerequisite / conditional_guidance / procedural_guidance · relationship_confidence between 0 and 1 · relationship_reasoning not empty · text contains 'Parent A' · is_broken = false.</t>
  </si>
  <si>
    <t xml:space="preserve">Check the link count went up by one.</t>
  </si>
  <si>
    <t xml:space="preserve">links = BEFORE + 1.</t>
  </si>
  <si>
    <t xml:space="preserve">S05 – Page hard-removed from Athena</t>
  </si>
  <si>
    <t xml:space="preserve">A deleted Athena page is removed from Spanner (page + all its links) and from all 3 GCS buckets.</t>
  </si>
  <si>
    <t xml:space="preserve">BEFORE: confirm the page and its links exist (Export → CSV, name S05_before).</t>
  </si>
  <si>
    <t xml:space="preserve">Open QA Delete Me S5 → Options → Delete page → confirm.</t>
  </si>
  <si>
    <t xml:space="preserve">Page no longer visible under Parent A.</t>
  </si>
  <si>
    <t xml:space="preserve">Check the page row is gone.</t>
  </si>
  <si>
    <t xml:space="preserve">n = 0.</t>
  </si>
  <si>
    <t xml:space="preserve">Check all links to/from it are gone.</t>
  </si>
  <si>
    <t xml:space="preserve">0 rows.</t>
  </si>
  <si>
    <t xml:space="preserve">Check the page's files are removed from ALL 3 buckets (repeat the filter in each bucket).</t>
  </si>
  <si>
    <t xml:space="preserve">No objects found in any of the 3 buckets.</t>
  </si>
  <si>
    <t xml:space="preserve">S06 – Metadata-only change (title only)</t>
  </si>
  <si>
    <t xml:space="preserve">Changing only the title updates the title/metadata, but content_size, links and page.md/page.html stay the same.</t>
  </si>
  <si>
    <t xml:space="preserve">BEFORE: save the page row (Export → CSV, name S06_before).</t>
  </si>
  <si>
    <t xml:space="preserve">Note content_size and path.</t>
  </si>
  <si>
    <t xml:space="preserve">Open Child B → rename the title to: Child B Renamed QA-ZX91. Do NOT change the body. Save/Publish.</t>
  </si>
  <si>
    <t xml:space="preserve">New title visible.</t>
  </si>
  <si>
    <t xml:space="preserve">AFTER: check the page row.</t>
  </si>
  <si>
    <t xml:space="preserve">title = Child B Renamed QA-ZX91 · revision higher · content_size = BEFORE (if different, record it – the title may be part of the content) · write down whether path and summary changed.</t>
  </si>
  <si>
    <t xml:space="preserve">Check links FROM Child B are unchanged.</t>
  </si>
  <si>
    <t xml:space="preserve">Same as Setup_links_baseline (Child B has no content links).</t>
  </si>
  <si>
    <t xml:space="preserve">Check links TO Child B still work.</t>
  </si>
  <si>
    <t xml:space="preserve">crc32c hash = BEFORE (file byte-identical). Same check for page.html. If different → record (title heading may be inside the markdown).</t>
  </si>
  <si>
    <t xml:space="preserve">Updated after start time; contains 'Child B Renamed QA-ZX91'.</t>
  </si>
  <si>
    <t xml:space="preserve">S07 – Multiple rapid updates to the same page</t>
  </si>
  <si>
    <t xml:space="preserve">Several quick edits before one pipeline run: only the final version ends up in Spanner and GCS, with no duplicates.</t>
  </si>
  <si>
    <t xml:space="preserve">Within 2 minutes, edit Child C three times, publishing each time:
1) add a line 'QA-ZX91 rapid edit 1'
2) change it to 'QA-ZX91 rapid edit 2'
3) change it to 'QA-ZX91 rapid edit 3 FINAL'
Write down the final revision number from Page history.</t>
  </si>
  <si>
    <t xml:space="preserve">3 new revisions in Athena.</t>
  </si>
  <si>
    <t xml:space="preserve">Check the page has the final revision.</t>
  </si>
  <si>
    <t xml:space="preserve">revision = final Athena revision · ingested_at after start time.</t>
  </si>
  <si>
    <t xml:space="preserve">Check there are no duplicate links.</t>
  </si>
  <si>
    <t xml:space="preserve">status = completed · no failed rows.</t>
  </si>
  <si>
    <t xml:space="preserve">Contains 'rapid edit 3 FINAL' and does NOT contain 'rapid edit 1' or 'rapid edit 2'.</t>
  </si>
  <si>
    <t xml:space="preserve">S08 – Content reverted to a previous revision</t>
  </si>
  <si>
    <t xml:space="preserve">Edit a page, then restore the previous version in Athena: Spanner and GCS must end up with the reverted content.</t>
  </si>
  <si>
    <t xml:space="preserve">Second time (UTC) →</t>
  </si>
  <si>
    <t xml:space="preserve">&lt;paste second time&gt;</t>
  </si>
  <si>
    <t xml:space="preserve">BEFORE: save the page row (Export → CSV, name S08_before).</t>
  </si>
  <si>
    <t xml:space="preserve">Note revision (R0) and content_size.</t>
  </si>
  <si>
    <t xml:space="preserve">Open Parent B → Edit → add the sentence 'QA-ZX91 TEMPORARY S8 EDIT' → Publish. Note the new revision (R1).</t>
  </si>
  <si>
    <t xml:space="preserve">Revision R1 in Athena.</t>
  </si>
  <si>
    <t xml:space="preserve">Checkpoint: the temporary edit reached Spanner.</t>
  </si>
  <si>
    <t xml:space="preserve">revision = R1.</t>
  </si>
  <si>
    <t xml:space="preserve">Record a second start time: run the query and paste the value into the yellow 'Second time' cell (E4).</t>
  </si>
  <si>
    <t xml:space="preserve">SELECT CURRENT_TIMESTAMP() AS second_time</t>
  </si>
  <si>
    <t xml:space="preserve">One timestamp value.</t>
  </si>
  <si>
    <t xml:space="preserve">Open Parent B → Page history → select the version R0 → Restore / Revert → Publish. Note the revision Athena now shows (R2).</t>
  </si>
  <si>
    <t xml:space="preserve">Page content is back to the original.</t>
  </si>
  <si>
    <t xml:space="preserve">Confirm the second pipeline run finished.</t>
  </si>
  <si>
    <t xml:space="preserve">At least 1 row, status = COMPLETED.</t>
  </si>
  <si>
    <t xml:space="preserve">Check the final page state.</t>
  </si>
  <si>
    <t xml:space="preserve">revision = R2 (Athena's latest) · content_size = BEFORE value · 'revisions' includes R1 · ingested_at after second time.
FAIL if revision is still R1 → the revert was skipped (known risk: code ignores revisions not newer than the stored one).</t>
  </si>
  <si>
    <t xml:space="preserve">Check links are back to the baseline.</t>
  </si>
  <si>
    <t xml:space="preserve">Same as Setup_links_baseline for Parent B.</t>
  </si>
  <si>
    <t xml:space="preserve">Updated after the second time; does NOT contain 'TEMPORARY S8 EDIT'.</t>
  </si>
  <si>
    <t xml:space="preserve">S10 – Page moved to a different parent</t>
  </si>
  <si>
    <t xml:space="preserve">Moving a page keeps one Spanner row (same page_id) with an updated path, and moves the parent link from the old parent to the new one.</t>
  </si>
  <si>
    <t xml:space="preserve">BEFORE: save the parent links (Export → CSV, name S10_before).</t>
  </si>
  <si>
    <t xml:space="preserve">Open Child C → Options → Move → choose Parent A as the new parent → confirm.</t>
  </si>
  <si>
    <t xml:space="preserve">Child C now appears under Parent A.</t>
  </si>
  <si>
    <t xml:space="preserve">Check the page path changed but the ID did not.</t>
  </si>
  <si>
    <t xml:space="preserve">1 row · path = Customer_Vulnerability_Hub_2/Vulnerabilities/Test_Area/Parent_A/Child_C · ingested_at after start time.</t>
  </si>
  <si>
    <t xml:space="preserve">Check there is only one Child C page.</t>
  </si>
  <si>
    <t xml:space="preserve">SELECT COUNT(*) AS n FROM page WHERE title = 'Child C'</t>
  </si>
  <si>
    <t xml:space="preserve">Check the parent link moved.</t>
  </si>
  <si>
    <t xml:space="preserve">Check other links to Child C still work.</t>
  </si>
  <si>
    <t xml:space="preserve">completed rows for Child C and both parents · no failed rows.</t>
  </si>
  <si>
    <t xml:space="preserve">Check there is only one copy of Child C in each bucket.</t>
  </si>
  <si>
    <t xml:space="preserve">S11 – No-op change (saved without changes)</t>
  </si>
  <si>
    <t xml:space="preserve">Saving a page without changing anything should not cause reprocessing (the revision check skips it).</t>
  </si>
  <si>
    <t xml:space="preserve">Open Child B → Page history: note the current revision (R0). Then Edit → Save/Publish WITHOUT changing anything. Check Page history again: did a new revision appear? Write it down.</t>
  </si>
  <si>
    <t xml:space="preserve">Note R0 and whether a new revision was created.</t>
  </si>
  <si>
    <t xml:space="preserve">Check the page row.</t>
  </si>
  <si>
    <t xml:space="preserve">If Athena did NOT create a new revision: revision = R0 and ingested_at is BEFORE the start time → PASS.
If Athena DID create a new revision: revision = new number (reprocessing expected) → 'Pass with observation'.</t>
  </si>
  <si>
    <t xml:space="preserve">No new revision in Athena → 0 rows. New revision → completed rows only.</t>
  </si>
  <si>
    <t xml:space="preserve">No new revision → 'Updated' time is BEFORE the start time (file untouched).</t>
  </si>
  <si>
    <t xml:space="preserve">S12 – Pipeline triggered when there are no Athena changes</t>
  </si>
  <si>
    <t xml:space="preserve">A run with nothing changed must not modify any Test Area page, link or GCS file.</t>
  </si>
  <si>
    <t xml:space="preserve">Make NO changes anywhere in the Test Area.</t>
  </si>
  <si>
    <t xml:space="preserve">Check no Test Area page was rewritten.</t>
  </si>
  <si>
    <t xml:space="preserve">Check no audit rows were written for Test Area pages.</t>
  </si>
  <si>
    <t xml:space="preserve">SELECT d.page_id, d.dependency_page_id, d.type, COUNT(*) AS n FROM page_dependency d JOIN page p ON p.page_id = d.page_id WHERE p.path LIKE 'Customer_Vulnerability_Hub_2/Vulnerabilities/Test_Area%' GROUP BY d.page_id, d.dependency_page_id, d.type HAVING COUNT(*) &gt; 1</t>
  </si>
  <si>
    <t xml:space="preserve">'Updated' time is BEFORE the start time.</t>
  </si>
  <si>
    <t xml:space="preserve">S13 – Same page processed repeatedly (idempotency)</t>
  </si>
  <si>
    <t xml:space="preserve">Running the pipeline again with no changes leaves exactly the same data: one row per page, same links, no extra GCS files.</t>
  </si>
  <si>
    <t xml:space="preserve">Check each page appears only once.</t>
  </si>
  <si>
    <t xml:space="preserve">SELECT page_id, COUNT(*) AS n FROM page WHERE path LIKE 'Customer_Vulnerability_Hub_2/Vulnerabilities/Test_Area%' GROUP BY page_id HAVING COUNT(*) &gt; 1</t>
  </si>
  <si>
    <t xml:space="preserve">Check the number of links per page.</t>
  </si>
  <si>
    <t xml:space="preserve">SELECT d.page_id, COUNT(*) AS links FROM page_dependency d JOIN page p ON p.page_id = d.page_id WHERE p.path LIKE 'Customer_Vulnerability_Hub_2/Vulnerabilities/Test_Area%' GROUP BY d.page_id ORDER BY d.page_id</t>
  </si>
  <si>
    <t xml:space="preserve">Same counts as immediately before this scenario (compare with the last export you made).</t>
  </si>
  <si>
    <t xml:space="preserve">Check metadata is still valid.</t>
  </si>
  <si>
    <t xml:space="preserve">SELECT page_id, title, revision, summary IS NOT NULL AS has_summary, confidence_score FROM page WHERE path LIKE 'Customer_Vulnerability_Hub_2/Vulnerabilities/Test_Area%' ORDER BY page_id</t>
  </si>
  <si>
    <t xml:space="preserve">has_summary = true for content pages · confidence_score between 0 and 1. (If the optional reprocess ran, summary wording may differ slightly – that is fine; empty is not.)</t>
  </si>
  <si>
    <t xml:space="preserve">Cloud Storage → Buckets → open the bucket shown → in 'Filter by name prefix' paste the path → open .</t>
  </si>
  <si>
    <t xml:space="preserve">S14 – Hyperlink target page deleted</t>
  </si>
  <si>
    <t xml:space="preserve">When a page that others link to is deleted, it disappears from Spanner/GCS and the page linking to it is left clean (link removed or flagged broken).</t>
  </si>
  <si>
    <t xml:space="preserve">BEFORE: confirm Parent A links to the target (Export → CSV, name S14_before).</t>
  </si>
  <si>
    <t xml:space="preserve">Open QA Link Target S14 → Options → Delete page → confirm. Do NOT edit Parent A.</t>
  </si>
  <si>
    <t xml:space="preserve">Page deleted.</t>
  </si>
  <si>
    <t xml:space="preserve">Check the deleted page is gone.</t>
  </si>
  <si>
    <t xml:space="preserve">Check links involving the deleted page.</t>
  </si>
  <si>
    <t xml:space="preserve">Check Parent A is still fine.</t>
  </si>
  <si>
    <t xml:space="preserve">1 row; Parent A still present.</t>
  </si>
  <si>
    <t xml:space="preserve">Check the deleted page's files are gone from all 3 buckets.</t>
  </si>
  <si>
    <t xml:space="preserve">No objects in any bucket.</t>
  </si>
  <si>
    <t xml:space="preserve">Updated after start time (Parent A rewritten with the link marked broken).</t>
  </si>
  <si>
    <t xml:space="preserve">S15 – Page with multiple links updated (remove / keep / add)</t>
  </si>
  <si>
    <t xml:space="preserve">On one page: a removed link disappears, kept links stay once (no duplicate), and a new link is added.</t>
  </si>
  <si>
    <t xml:space="preserve">BEFORE: save the links (Export → CSV, name S15_before).</t>
  </si>
  <si>
    <t xml:space="preserve">Open QA Multi-Link S15 → Edit: delete the 'Child AA' link; keep 'Child B' and 'Child C'; add 'Parent B' linked to the internal page Parent B. Publish.</t>
  </si>
  <si>
    <t xml:space="preserve">Check the new link set.</t>
  </si>
  <si>
    <t xml:space="preserve">Check kept links were not duplicated.</t>
  </si>
  <si>
    <t xml:space="preserve">S09 – Page fails during processing (needs dev support)</t>
  </si>
  <si>
    <t xml:space="preserve">When one page fails, the failure is recorded in page_audit and the previous good data for that page is left untouched.</t>
  </si>
  <si>
    <t xml:space="preserve">Agree with the dev how to make Child B fail for one run (e.g. a temporary config change). Do not continue without this. No dev support → mark this sheet 'Blocked'.</t>
  </si>
  <si>
    <t xml:space="preserve">Dev ready.</t>
  </si>
  <si>
    <t xml:space="preserve">BEFORE: save the page row (Export → CSV, name S09_before).</t>
  </si>
  <si>
    <t xml:space="preserve">Note revision.</t>
  </si>
  <si>
    <t xml:space="preserve">Open Child B → Edit → add the sentence 'QA-ZX91 S9 edit' → Publish. Then ask the dev to switch the failure ON.</t>
  </si>
  <si>
    <t xml:space="preserve">New revision in Athena; dev confirms failure is on.</t>
  </si>
  <si>
    <t xml:space="preserve">Check the failure was recorded.</t>
  </si>
  <si>
    <t xml:space="preserve">At least 1 row with status = failed · has_errors = true · error_details says which stage failed (fetch / markdown / metadata).</t>
  </si>
  <si>
    <t xml:space="preserve">Check the old data was kept.</t>
  </si>
  <si>
    <t xml:space="preserve">Same as BEFORE (old revision, ingested_at before the start time).</t>
  </si>
  <si>
    <t xml:space="preserve">Check the watermark for the root.</t>
  </si>
  <si>
    <t xml:space="preserve">Write down what you see (by design a failed page should stop its root's watermark from moving forward).</t>
  </si>
  <si>
    <t xml:space="preserve">'Updated' time is BEFORE the start time (not overwritten); does NOT contain 'S9 edit'.</t>
  </si>
  <si>
    <t xml:space="preserve">S16 – Previously failed page reprocessed successfully</t>
  </si>
  <si>
    <t xml:space="preserve">After the failure is removed, the next run processes the page, and the audit shows the failure followed by success.</t>
  </si>
  <si>
    <t xml:space="preserve">Ask the dev to switch the S09 failure OFF.</t>
  </si>
  <si>
    <t xml:space="preserve">Dev confirms.</t>
  </si>
  <si>
    <t xml:space="preserve">Check the page is now updated.</t>
  </si>
  <si>
    <t xml:space="preserve">revision = Athena's latest (includes the S9 edit) · ingested_at after this sheet's start time.</t>
  </si>
  <si>
    <t xml:space="preserve">Check the audit shows failure then success (uses the start time from sheet S09).</t>
  </si>
  <si>
    <t xml:space="preserve">failed row(s) from S09 first, then completed row(s) from this run.</t>
  </si>
  <si>
    <t xml:space="preserve">Check the root watermark moved forward.</t>
  </si>
  <si>
    <t xml:space="preserve">Newest row: status = COMPLETED, after this sheet's start time.</t>
  </si>
  <si>
    <t xml:space="preserve">Check links are correct.</t>
  </si>
  <si>
    <t xml:space="preserve">Same as Setup_links_baseline for Child B.</t>
  </si>
  <si>
    <t xml:space="preserve">Updated after start time and contains 'S9 edit'.</t>
  </si>
  <si>
    <t xml:space="preserve">ID</t>
  </si>
  <si>
    <t xml:space="preserve">What went wrong</t>
  </si>
  <si>
    <t xml:space="preserve">Expected</t>
  </si>
  <si>
    <t xml:space="preserve">Actual (paste query result / evidence file)</t>
  </si>
  <si>
    <t xml:space="preserve">Severity</t>
  </si>
  <si>
    <t xml:space="preserve">Jira</t>
  </si>
  <si>
    <t xml:space="preserve">Status</t>
  </si>
  <si>
    <t xml:space="preserve">PRE-1</t>
  </si>
  <si>
    <t xml:space="preserve">INT database is older than the code: no 'job' table, page_audit has no 'job_type', page has 'is_draft' not 'draft_state'.</t>
  </si>
  <si>
    <t xml:space="preserve">Schema matches the deployed code</t>
  </si>
  <si>
    <t xml:space="preserve">Found 29-Sep</t>
  </si>
  <si>
    <t xml:space="preserve">High</t>
  </si>
  <si>
    <t xml:space="preserve">Confirm with dev</t>
  </si>
  <si>
    <t xml:space="preserve">PRE-2</t>
  </si>
  <si>
    <t xml:space="preserve">No pipeline run on INT since 18-Sep; Test Area data in Spanner is from 14-Sep and does not match Athena.</t>
  </si>
  <si>
    <t xml:space="preserve">Runs every 30 min</t>
  </si>
  <si>
    <t xml:space="preserve">PRE-3</t>
  </si>
  <si>
    <t xml:space="preserve">is_broken is false for all 4,776 links – broken-link flagging may not work.</t>
  </si>
  <si>
    <t xml:space="preserve">Broken links flagged</t>
  </si>
  <si>
    <t xml:space="preserve">Medium</t>
  </si>
  <si>
    <t xml:space="preserve">PRE-4</t>
  </si>
  <si>
    <t xml:space="preserve">page_audit table is empty on INT.</t>
  </si>
  <si>
    <t xml:space="preserve">Audit row per processed page</t>
  </si>
  <si>
    <t xml:space="preserve">Recheck after deploy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</si>
</sst>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eprocessing_Pipeline_INT_Test_Runbook_v2.xlsx" TargetMode="External"/><Relationship Id="rId2" Type="http://schemas.openxmlformats.org/officeDocument/2006/relationships/hyperlink" Target="Preprocessing_Pipeline_INT_Test_Runbook_v2.xlsx" TargetMode="External"/><Relationship Id="rId3" Type="http://schemas.openxmlformats.org/officeDocument/2006/relationships/hyperlink" Target="Preprocessing_Pipeline_INT_Test_Runbook_v2.xlsx" TargetMode="External"/><Relationship Id="rId4" Type="http://schemas.openxmlformats.org/officeDocument/2006/relationships/hyperlink" Target="Preprocessing_Pipeline_INT_Test_Runbook_v2.xlsx" TargetMode="External"/><Relationship Id="rId5" Type="http://schemas.openxmlformats.org/officeDocument/2006/relationships/hyperlink" Target="Preprocessing_Pipeline_INT_Test_Runbook_v2.xlsx" TargetMode="External"/><Relationship Id="rId6" Type="http://schemas.openxmlformats.org/officeDocument/2006/relationships/hyperlink" Target="Preprocessing_Pipeline_INT_Test_Runbook_v2.xlsx" TargetMode="External"/><Relationship Id="rId7" Type="http://schemas.openxmlformats.org/officeDocument/2006/relationships/hyperlink" Target="Preprocessing_Pipeline_INT_Test_Runbook_v2.xlsx" TargetMode="External"/><Relationship Id="rId8" Type="http://schemas.openxmlformats.org/officeDocument/2006/relationships/hyperlink" Target="Preprocessing_Pipeline_INT_Test_Runbook_v2.xlsx" TargetMode="External"/><Relationship Id="rId9" Type="http://schemas.openxmlformats.org/officeDocument/2006/relationships/hyperlink" Target="Preprocessing_Pipeline_INT_Test_Runbook_v2.xlsx" TargetMode="External"/><Relationship Id="rId10" Type="http://schemas.openxmlformats.org/officeDocument/2006/relationships/hyperlink" Target="Preprocessing_Pipeline_INT_Test_Runbook_v2.xlsx" TargetMode="External"/><Relationship Id="rId11" Type="http://schemas.openxmlformats.org/officeDocument/2006/relationships/hyperlink" Target="Preprocessing_Pipeline_INT_Test_Runbook_v2.xlsx" TargetMode="External"/><Relationship Id="rId12" Type="http://schemas.openxmlformats.org/officeDocument/2006/relationships/hyperlink" Target="Preprocessing_Pipeline_INT_Test_Runbook_v2.xlsx" TargetMode="External"/><Relationship Id="rId13" Type="http://schemas.openxmlformats.org/officeDocument/2006/relationships/hyperlink" Target="Preprocessing_Pipeline_INT_Test_Runbook_v2.xlsx" TargetMode="External"/><Relationship Id="rId14" Type="http://schemas.openxmlformats.org/officeDocument/2006/relationships/hyperlink" Target="Preprocessing_Pipeline_INT_Test_Runbook_v2.xlsx" TargetMode="External"/><Relationship Id="rId15" Type="http://schemas.openxmlformats.org/officeDocument/2006/relationships/hyperlink" Target="Preprocessing_Pipeline_INT_Test_Runbook_v2.xlsx" TargetMode="External"/><Relationship Id="rId16" Type="http://schemas.openxmlformats.org/officeDocument/2006/relationships/hyperlink" Target="Preprocessing_Pipeline_INT_Test_Runbook_v2.xlsx" TargetMode="External"/><Relationship Id="rId17" Type="http://schemas.openxmlformats.org/officeDocument/2006/relationships/hyperlink" Target="Preprocessing_Pipeline_INT_Test_Runbook_v2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</row>
    <row r="5" customFormat="false" ht="30" hidden="false" customHeight="true" outlineLevel="0" collapsed="false">
      <c r="A5" s="3" t="s">
        <v>3</v>
      </c>
      <c r="B5" s="3"/>
      <c r="C5" s="3"/>
      <c r="D5" s="3"/>
      <c r="E5" s="3"/>
    </row>
    <row r="6" customFormat="false" ht="30" hidden="false" customHeight="true" outlineLevel="0" collapsed="false">
      <c r="A6" s="3" t="s">
        <v>4</v>
      </c>
      <c r="B6" s="3"/>
      <c r="C6" s="3"/>
      <c r="D6" s="3"/>
      <c r="E6" s="3"/>
    </row>
    <row r="7" customFormat="false" ht="30" hidden="false" customHeight="true" outlineLevel="0" collapsed="false">
      <c r="A7" s="3" t="s">
        <v>5</v>
      </c>
      <c r="B7" s="3"/>
      <c r="C7" s="3"/>
      <c r="D7" s="3"/>
      <c r="E7" s="3"/>
    </row>
    <row r="8" customFormat="false" ht="30" hidden="false" customHeight="true" outlineLevel="0" collapsed="false">
      <c r="A8" s="3" t="s">
        <v>6</v>
      </c>
      <c r="B8" s="3"/>
      <c r="C8" s="3"/>
      <c r="D8" s="3"/>
      <c r="E8" s="3"/>
    </row>
    <row r="9" customFormat="false" ht="30" hidden="false" customHeight="true" outlineLevel="0" collapsed="false">
      <c r="A9" s="3" t="s">
        <v>7</v>
      </c>
      <c r="B9" s="3"/>
      <c r="C9" s="3"/>
      <c r="D9" s="3"/>
      <c r="E9" s="3"/>
    </row>
    <row r="10" customFormat="false" ht="30" hidden="false" customHeight="true" outlineLevel="0" collapsed="false">
      <c r="A10" s="3" t="s">
        <v>8</v>
      </c>
      <c r="B10" s="3"/>
      <c r="C10" s="3"/>
      <c r="D10" s="3"/>
      <c r="E10" s="3"/>
    </row>
    <row r="11" customFormat="false" ht="30" hidden="false" customHeight="true" outlineLevel="0" collapsed="false">
      <c r="A11" s="3" t="s">
        <v>9</v>
      </c>
      <c r="B11" s="3"/>
      <c r="C11" s="3"/>
      <c r="D11" s="3"/>
      <c r="E11" s="3"/>
    </row>
    <row r="13" customFormat="false" ht="15" hidden="false" customHeight="true" outlineLevel="0" collapsed="false">
      <c r="A13" s="2" t="s">
        <v>10</v>
      </c>
      <c r="B13" s="2"/>
      <c r="C13" s="2"/>
      <c r="D13" s="2"/>
      <c r="E13" s="2"/>
    </row>
    <row r="14" customFormat="false" ht="27.75" hidden="false" customHeight="true" outlineLevel="0" collapsed="false">
      <c r="A14" s="4"/>
      <c r="B14" s="5" t="s">
        <v>11</v>
      </c>
      <c r="C14" s="3" t="s">
        <v>12</v>
      </c>
      <c r="D14" s="3"/>
      <c r="E14" s="3"/>
    </row>
    <row r="15" customFormat="false" ht="27.75" hidden="false" customHeight="true" outlineLevel="0" collapsed="false">
      <c r="A15" s="4"/>
      <c r="B15" s="5" t="s">
        <v>13</v>
      </c>
      <c r="C15" s="3" t="s">
        <v>14</v>
      </c>
      <c r="D15" s="3"/>
      <c r="E15" s="3"/>
    </row>
    <row r="16" customFormat="false" ht="27.75" hidden="false" customHeight="true" outlineLevel="0" collapsed="false">
      <c r="A16" s="4"/>
      <c r="B16" s="5" t="s">
        <v>15</v>
      </c>
      <c r="C16" s="3" t="s">
        <v>16</v>
      </c>
      <c r="D16" s="3"/>
      <c r="E16" s="3"/>
    </row>
    <row r="17" customFormat="false" ht="27.75" hidden="false" customHeight="true" outlineLevel="0" collapsed="false">
      <c r="A17" s="4"/>
      <c r="B17" s="5" t="s">
        <v>17</v>
      </c>
      <c r="C17" s="3" t="s">
        <v>18</v>
      </c>
      <c r="D17" s="3"/>
      <c r="E17" s="3"/>
    </row>
    <row r="18" customFormat="false" ht="27.75" hidden="false" customHeight="true" outlineLevel="0" collapsed="false">
      <c r="A18" s="4"/>
      <c r="B18" s="5" t="s">
        <v>19</v>
      </c>
      <c r="C18" s="3" t="s">
        <v>20</v>
      </c>
      <c r="D18" s="3"/>
      <c r="E18" s="3"/>
    </row>
    <row r="20" customFormat="false" ht="15" hidden="false" customHeight="true" outlineLevel="0" collapsed="false">
      <c r="A20" s="2" t="s">
        <v>21</v>
      </c>
      <c r="B20" s="2"/>
      <c r="C20" s="2"/>
      <c r="D20" s="2"/>
      <c r="E20" s="2"/>
    </row>
    <row r="21" customFormat="false" ht="15" hidden="false" customHeight="false" outlineLevel="0" collapsed="false">
      <c r="A21" s="6" t="s">
        <v>22</v>
      </c>
      <c r="B21" s="6" t="s">
        <v>23</v>
      </c>
      <c r="C21" s="6" t="s">
        <v>24</v>
      </c>
      <c r="D21" s="6" t="s">
        <v>25</v>
      </c>
      <c r="E21" s="6" t="s">
        <v>26</v>
      </c>
    </row>
    <row r="22" customFormat="false" ht="23.85" hidden="false" customHeight="false" outlineLevel="0" collapsed="false">
      <c r="A22" s="7" t="n">
        <v>1</v>
      </c>
      <c r="B22" s="7" t="s">
        <v>27</v>
      </c>
      <c r="C22" s="8" t="s">
        <v>28</v>
      </c>
      <c r="D22" s="7" t="s">
        <v>29</v>
      </c>
      <c r="E22" s="9" t="s">
        <v>30</v>
      </c>
    </row>
    <row r="23" customFormat="false" ht="15" hidden="false" customHeight="false" outlineLevel="0" collapsed="false">
      <c r="A23" s="7" t="n">
        <v>2</v>
      </c>
      <c r="B23" s="7" t="s">
        <v>31</v>
      </c>
      <c r="C23" s="8" t="s">
        <v>32</v>
      </c>
      <c r="D23" s="7" t="s">
        <v>29</v>
      </c>
      <c r="E23" s="9" t="s">
        <v>33</v>
      </c>
    </row>
    <row r="24" customFormat="false" ht="15" hidden="false" customHeight="false" outlineLevel="0" collapsed="false">
      <c r="A24" s="7" t="n">
        <v>3</v>
      </c>
      <c r="B24" s="7" t="s">
        <v>34</v>
      </c>
      <c r="C24" s="8" t="s">
        <v>35</v>
      </c>
      <c r="D24" s="7" t="s">
        <v>29</v>
      </c>
      <c r="E24" s="9" t="s">
        <v>36</v>
      </c>
    </row>
    <row r="25" customFormat="false" ht="15" hidden="false" customHeight="false" outlineLevel="0" collapsed="false">
      <c r="A25" s="7" t="n">
        <v>4</v>
      </c>
      <c r="B25" s="7" t="s">
        <v>37</v>
      </c>
      <c r="C25" s="8" t="s">
        <v>38</v>
      </c>
      <c r="D25" s="7" t="s">
        <v>29</v>
      </c>
      <c r="E25" s="9" t="s">
        <v>39</v>
      </c>
    </row>
    <row r="26" customFormat="false" ht="15" hidden="false" customHeight="false" outlineLevel="0" collapsed="false">
      <c r="A26" s="7" t="n">
        <v>5</v>
      </c>
      <c r="B26" s="7" t="s">
        <v>40</v>
      </c>
      <c r="C26" s="8" t="s">
        <v>41</v>
      </c>
      <c r="D26" s="7" t="s">
        <v>29</v>
      </c>
      <c r="E26" s="9" t="s">
        <v>42</v>
      </c>
    </row>
    <row r="27" customFormat="false" ht="15" hidden="false" customHeight="false" outlineLevel="0" collapsed="false">
      <c r="A27" s="7" t="n">
        <v>6</v>
      </c>
      <c r="B27" s="7" t="s">
        <v>43</v>
      </c>
      <c r="C27" s="8" t="s">
        <v>44</v>
      </c>
      <c r="D27" s="7" t="s">
        <v>29</v>
      </c>
      <c r="E27" s="9" t="s">
        <v>45</v>
      </c>
    </row>
    <row r="28" customFormat="false" ht="15" hidden="false" customHeight="false" outlineLevel="0" collapsed="false">
      <c r="A28" s="7" t="n">
        <v>7</v>
      </c>
      <c r="B28" s="7" t="s">
        <v>46</v>
      </c>
      <c r="C28" s="10" t="s">
        <v>47</v>
      </c>
      <c r="D28" s="7" t="s">
        <v>48</v>
      </c>
      <c r="E28" s="9" t="s">
        <v>49</v>
      </c>
    </row>
    <row r="29" customFormat="false" ht="15" hidden="false" customHeight="false" outlineLevel="0" collapsed="false">
      <c r="A29" s="7" t="n">
        <v>8</v>
      </c>
      <c r="B29" s="7" t="s">
        <v>50</v>
      </c>
      <c r="C29" s="10" t="s">
        <v>51</v>
      </c>
      <c r="D29" s="7" t="s">
        <v>48</v>
      </c>
      <c r="E29" s="9" t="s">
        <v>52</v>
      </c>
    </row>
    <row r="30" customFormat="false" ht="15" hidden="false" customHeight="false" outlineLevel="0" collapsed="false">
      <c r="A30" s="7" t="n">
        <v>9</v>
      </c>
      <c r="B30" s="7" t="s">
        <v>53</v>
      </c>
      <c r="C30" s="10" t="s">
        <v>54</v>
      </c>
      <c r="D30" s="7" t="s">
        <v>48</v>
      </c>
      <c r="E30" s="9" t="s">
        <v>55</v>
      </c>
    </row>
    <row r="31" customFormat="false" ht="15" hidden="false" customHeight="false" outlineLevel="0" collapsed="false">
      <c r="A31" s="7" t="n">
        <v>10</v>
      </c>
      <c r="B31" s="7" t="s">
        <v>56</v>
      </c>
      <c r="C31" s="10" t="s">
        <v>57</v>
      </c>
      <c r="D31" s="7" t="s">
        <v>48</v>
      </c>
      <c r="E31" s="9" t="s">
        <v>58</v>
      </c>
    </row>
    <row r="32" customFormat="false" ht="23.85" hidden="false" customHeight="false" outlineLevel="0" collapsed="false">
      <c r="A32" s="7" t="n">
        <v>11</v>
      </c>
      <c r="B32" s="7" t="s">
        <v>59</v>
      </c>
      <c r="C32" s="10" t="s">
        <v>60</v>
      </c>
      <c r="D32" s="7" t="s">
        <v>61</v>
      </c>
      <c r="E32" s="9" t="s">
        <v>62</v>
      </c>
    </row>
    <row r="33" customFormat="false" ht="15" hidden="false" customHeight="false" outlineLevel="0" collapsed="false">
      <c r="A33" s="7" t="n">
        <v>12</v>
      </c>
      <c r="B33" s="7" t="s">
        <v>63</v>
      </c>
      <c r="C33" s="10" t="s">
        <v>64</v>
      </c>
      <c r="D33" s="7" t="s">
        <v>65</v>
      </c>
      <c r="E33" s="9" t="s">
        <v>66</v>
      </c>
    </row>
    <row r="34" customFormat="false" ht="15" hidden="false" customHeight="false" outlineLevel="0" collapsed="false">
      <c r="A34" s="7" t="n">
        <v>13</v>
      </c>
      <c r="B34" s="7" t="s">
        <v>67</v>
      </c>
      <c r="C34" s="10" t="s">
        <v>68</v>
      </c>
      <c r="D34" s="7" t="s">
        <v>69</v>
      </c>
      <c r="E34" s="9" t="s">
        <v>70</v>
      </c>
    </row>
    <row r="35" customFormat="false" ht="15" hidden="false" customHeight="false" outlineLevel="0" collapsed="false">
      <c r="A35" s="7" t="n">
        <v>14</v>
      </c>
      <c r="B35" s="7" t="s">
        <v>71</v>
      </c>
      <c r="C35" s="10" t="s">
        <v>72</v>
      </c>
      <c r="D35" s="7" t="s">
        <v>69</v>
      </c>
      <c r="E35" s="9" t="s">
        <v>73</v>
      </c>
    </row>
    <row r="36" customFormat="false" ht="15" hidden="false" customHeight="false" outlineLevel="0" collapsed="false">
      <c r="A36" s="7" t="n">
        <v>15</v>
      </c>
      <c r="B36" s="7" t="s">
        <v>74</v>
      </c>
      <c r="C36" s="10" t="s">
        <v>75</v>
      </c>
      <c r="D36" s="7" t="s">
        <v>69</v>
      </c>
      <c r="E36" s="9" t="s">
        <v>76</v>
      </c>
    </row>
    <row r="37" customFormat="false" ht="15" hidden="false" customHeight="false" outlineLevel="0" collapsed="false">
      <c r="A37" s="7" t="n">
        <v>16</v>
      </c>
      <c r="B37" s="7" t="s">
        <v>77</v>
      </c>
      <c r="C37" s="10" t="s">
        <v>78</v>
      </c>
      <c r="D37" s="7" t="s">
        <v>69</v>
      </c>
      <c r="E37" s="9" t="s">
        <v>79</v>
      </c>
    </row>
    <row r="38" customFormat="false" ht="15" hidden="false" customHeight="false" outlineLevel="0" collapsed="false">
      <c r="A38" s="7" t="n">
        <v>17</v>
      </c>
      <c r="B38" s="7" t="s">
        <v>80</v>
      </c>
      <c r="C38" s="10" t="s">
        <v>81</v>
      </c>
      <c r="D38" s="7" t="s">
        <v>82</v>
      </c>
      <c r="E38" s="9" t="s">
        <v>83</v>
      </c>
    </row>
    <row r="40" customFormat="false" ht="15" hidden="false" customHeight="true" outlineLevel="0" collapsed="false">
      <c r="A40" s="2" t="s">
        <v>84</v>
      </c>
      <c r="B40" s="2"/>
      <c r="C40" s="2"/>
      <c r="D40" s="2"/>
      <c r="E40" s="2"/>
    </row>
    <row r="41" customFormat="false" ht="15" hidden="false" customHeight="false" outlineLevel="0" collapsed="false">
      <c r="A41" s="6" t="s">
        <v>22</v>
      </c>
      <c r="B41" s="6" t="s">
        <v>85</v>
      </c>
      <c r="C41" s="6" t="s">
        <v>86</v>
      </c>
      <c r="D41" s="6" t="s">
        <v>87</v>
      </c>
      <c r="E41" s="6" t="s">
        <v>88</v>
      </c>
    </row>
    <row r="42" customFormat="false" ht="15" hidden="false" customHeight="false" outlineLevel="0" collapsed="false">
      <c r="A42" s="7" t="s">
        <v>89</v>
      </c>
      <c r="B42" s="11" t="s">
        <v>90</v>
      </c>
      <c r="C42" s="7" t="s">
        <v>91</v>
      </c>
      <c r="D42" s="7" t="s">
        <v>92</v>
      </c>
      <c r="E42" s="7" t="str">
        <f aca="false">Setup!C5</f>
        <v>Not run</v>
      </c>
    </row>
    <row r="43" customFormat="false" ht="23.85" hidden="false" customHeight="false" outlineLevel="0" collapsed="false">
      <c r="A43" s="7" t="n">
        <v>1</v>
      </c>
      <c r="B43" s="11" t="s">
        <v>93</v>
      </c>
      <c r="C43" s="7" t="s">
        <v>94</v>
      </c>
      <c r="D43" s="7" t="str">
        <f aca="false">"Parent A "&amp;ID_PA&amp;", Child B "&amp;ID_B&amp;", new page 'QA New Page S1'"</f>
        <v>Parent A 43601, Child B 43607, new page 'QA New Page S1'</v>
      </c>
      <c r="E43" s="7" t="str">
        <f aca="false">S01!C5</f>
        <v>Not run</v>
      </c>
    </row>
    <row r="44" customFormat="false" ht="15" hidden="false" customHeight="false" outlineLevel="0" collapsed="false">
      <c r="A44" s="7" t="n">
        <v>2</v>
      </c>
      <c r="B44" s="11" t="s">
        <v>95</v>
      </c>
      <c r="C44" s="7" t="s">
        <v>96</v>
      </c>
      <c r="D44" s="7" t="str">
        <f aca="false">"Child AA "&amp;ID_AA</f>
        <v>Child AA 43609</v>
      </c>
      <c r="E44" s="7" t="str">
        <f aca="false">S02!C5</f>
        <v>Not run</v>
      </c>
    </row>
    <row r="45" customFormat="false" ht="23.85" hidden="false" customHeight="false" outlineLevel="0" collapsed="false">
      <c r="A45" s="7" t="n">
        <v>3</v>
      </c>
      <c r="B45" s="11" t="s">
        <v>97</v>
      </c>
      <c r="C45" s="7" t="s">
        <v>98</v>
      </c>
      <c r="D45" s="7" t="str">
        <f aca="false">"Child AA "&amp;ID_AA&amp;" (link to Child C "&amp;ID_C&amp;" is removed)"</f>
        <v>Child AA 43609 (link to Child C &lt;CHILD_C_ID&gt; is removed)</v>
      </c>
      <c r="E45" s="7" t="str">
        <f aca="false">S03!C5</f>
        <v>Not run</v>
      </c>
    </row>
    <row r="46" customFormat="false" ht="15" hidden="false" customHeight="false" outlineLevel="0" collapsed="false">
      <c r="A46" s="7" t="n">
        <v>4</v>
      </c>
      <c r="B46" s="11" t="s">
        <v>99</v>
      </c>
      <c r="C46" s="7" t="s">
        <v>100</v>
      </c>
      <c r="D46" s="7" t="str">
        <f aca="false">"Child AA "&amp;ID_AA&amp;" (new link to Parent A "&amp;ID_PA&amp;")"</f>
        <v>Child AA 43609 (new link to Parent A 43601)</v>
      </c>
      <c r="E46" s="7" t="str">
        <f aca="false">S04!C5</f>
        <v>Not run</v>
      </c>
    </row>
    <row r="47" customFormat="false" ht="23.85" hidden="false" customHeight="false" outlineLevel="0" collapsed="false">
      <c r="A47" s="7" t="n">
        <v>5</v>
      </c>
      <c r="B47" s="11" t="s">
        <v>101</v>
      </c>
      <c r="C47" s="7" t="s">
        <v>102</v>
      </c>
      <c r="D47" s="7" t="str">
        <f aca="false">"QA Delete Me S5 "&amp;ID_S5&amp;" (child of Parent A "&amp;ID_PA&amp;")"</f>
        <v>QA Delete Me S5 &lt;S5_ID&gt; (child of Parent A 43601)</v>
      </c>
      <c r="E47" s="7" t="str">
        <f aca="false">S05!C5</f>
        <v>Not run</v>
      </c>
    </row>
    <row r="48" customFormat="false" ht="15" hidden="false" customHeight="false" outlineLevel="0" collapsed="false">
      <c r="A48" s="7" t="n">
        <v>6</v>
      </c>
      <c r="B48" s="11" t="s">
        <v>103</v>
      </c>
      <c r="C48" s="7" t="s">
        <v>104</v>
      </c>
      <c r="D48" s="7" t="str">
        <f aca="false">"Child B "&amp;ID_B</f>
        <v>Child B 43607</v>
      </c>
      <c r="E48" s="7" t="str">
        <f aca="false">S06!C5</f>
        <v>Not run</v>
      </c>
    </row>
    <row r="49" customFormat="false" ht="15" hidden="false" customHeight="false" outlineLevel="0" collapsed="false">
      <c r="A49" s="7" t="n">
        <v>7</v>
      </c>
      <c r="B49" s="11" t="s">
        <v>105</v>
      </c>
      <c r="C49" s="7" t="s">
        <v>106</v>
      </c>
      <c r="D49" s="7" t="str">
        <f aca="false">"Child C "&amp;ID_C</f>
        <v>Child C &lt;CHILD_C_ID&gt;</v>
      </c>
      <c r="E49" s="7" t="str">
        <f aca="false">S07!C5</f>
        <v>Not run</v>
      </c>
    </row>
    <row r="50" customFormat="false" ht="15" hidden="false" customHeight="false" outlineLevel="0" collapsed="false">
      <c r="A50" s="7" t="n">
        <v>8</v>
      </c>
      <c r="B50" s="11" t="s">
        <v>107</v>
      </c>
      <c r="C50" s="7" t="s">
        <v>108</v>
      </c>
      <c r="D50" s="7" t="str">
        <f aca="false">"Parent B "&amp;ID_PB</f>
        <v>Parent B 43603</v>
      </c>
      <c r="E50" s="7" t="str">
        <f aca="false">S08!C5</f>
        <v>Not run</v>
      </c>
    </row>
    <row r="51" customFormat="false" ht="23.85" hidden="false" customHeight="false" outlineLevel="0" collapsed="false">
      <c r="A51" s="7" t="n">
        <v>9</v>
      </c>
      <c r="B51" s="11" t="s">
        <v>109</v>
      </c>
      <c r="C51" s="7" t="s">
        <v>110</v>
      </c>
      <c r="D51" s="7" t="str">
        <f aca="false">"Child C "&amp;ID_C&amp;": moves from Parent B "&amp;ID_PB&amp;" to Parent A "&amp;ID_PA</f>
        <v>Child C &lt;CHILD_C_ID&gt;: moves from Parent B 43603 to Parent A 43601</v>
      </c>
      <c r="E51" s="7" t="str">
        <f aca="false">S10!C5</f>
        <v>Not run</v>
      </c>
    </row>
    <row r="52" customFormat="false" ht="15" hidden="false" customHeight="false" outlineLevel="0" collapsed="false">
      <c r="A52" s="7" t="n">
        <v>10</v>
      </c>
      <c r="B52" s="11" t="s">
        <v>111</v>
      </c>
      <c r="C52" s="7" t="s">
        <v>112</v>
      </c>
      <c r="D52" s="7" t="str">
        <f aca="false">"Child B "&amp;ID_B</f>
        <v>Child B 43607</v>
      </c>
      <c r="E52" s="7" t="str">
        <f aca="false">S11!C5</f>
        <v>Not run</v>
      </c>
    </row>
    <row r="53" customFormat="false" ht="15" hidden="false" customHeight="false" outlineLevel="0" collapsed="false">
      <c r="A53" s="7" t="n">
        <v>11</v>
      </c>
      <c r="B53" s="11" t="s">
        <v>113</v>
      </c>
      <c r="C53" s="7" t="s">
        <v>114</v>
      </c>
      <c r="D53" s="7" t="s">
        <v>115</v>
      </c>
      <c r="E53" s="7" t="str">
        <f aca="false">S12!C5</f>
        <v>Not run</v>
      </c>
    </row>
    <row r="54" customFormat="false" ht="15" hidden="false" customHeight="false" outlineLevel="0" collapsed="false">
      <c r="A54" s="7" t="n">
        <v>12</v>
      </c>
      <c r="B54" s="11" t="s">
        <v>116</v>
      </c>
      <c r="C54" s="7" t="s">
        <v>117</v>
      </c>
      <c r="D54" s="7" t="s">
        <v>115</v>
      </c>
      <c r="E54" s="7" t="str">
        <f aca="false">S13!C5</f>
        <v>Not run</v>
      </c>
    </row>
    <row r="55" customFormat="false" ht="23.85" hidden="false" customHeight="false" outlineLevel="0" collapsed="false">
      <c r="A55" s="7" t="n">
        <v>13</v>
      </c>
      <c r="B55" s="11" t="s">
        <v>118</v>
      </c>
      <c r="C55" s="7" t="s">
        <v>119</v>
      </c>
      <c r="D55" s="7" t="str">
        <f aca="false">"QA Link Target S14 "&amp;ID_S14&amp;" (deleted); Parent A "&amp;ID_PA&amp;" links to it"</f>
        <v>QA Link Target S14 &lt;S14_ID&gt; (deleted); Parent A 43601 links to it</v>
      </c>
      <c r="E55" s="7" t="str">
        <f aca="false">S14!C5</f>
        <v>Not run</v>
      </c>
    </row>
    <row r="56" customFormat="false" ht="35.05" hidden="false" customHeight="false" outlineLevel="0" collapsed="false">
      <c r="A56" s="7" t="n">
        <v>14</v>
      </c>
      <c r="B56" s="11" t="s">
        <v>120</v>
      </c>
      <c r="C56" s="7" t="s">
        <v>121</v>
      </c>
      <c r="D56" s="7" t="str">
        <f aca="false">"QA Multi-Link S15 "&amp;ID_S15&amp;": remove Child AA "&amp;ID_AA&amp;", keep Child B "&amp;ID_B&amp;" and Child C "&amp;ID_C&amp;", add Parent B "&amp;ID_PB</f>
        <v>QA Multi-Link S15 &lt;S15_ID&gt;: remove Child AA 43609, keep Child B 43607 and Child C &lt;CHILD_C_ID&gt;, add Parent B 43603</v>
      </c>
      <c r="E56" s="7" t="str">
        <f aca="false">S15!C5</f>
        <v>Not run</v>
      </c>
    </row>
    <row r="57" customFormat="false" ht="15" hidden="false" customHeight="false" outlineLevel="0" collapsed="false">
      <c r="A57" s="7" t="n">
        <v>15</v>
      </c>
      <c r="B57" s="11" t="s">
        <v>122</v>
      </c>
      <c r="C57" s="7" t="s">
        <v>123</v>
      </c>
      <c r="D57" s="7" t="str">
        <f aca="false">"Child B "&amp;ID_B</f>
        <v>Child B 43607</v>
      </c>
      <c r="E57" s="7" t="str">
        <f aca="false">S09!C5</f>
        <v>Not run</v>
      </c>
    </row>
    <row r="58" customFormat="false" ht="15" hidden="false" customHeight="false" outlineLevel="0" collapsed="false">
      <c r="A58" s="7" t="n">
        <v>16</v>
      </c>
      <c r="B58" s="11" t="s">
        <v>124</v>
      </c>
      <c r="C58" s="7" t="s">
        <v>125</v>
      </c>
      <c r="D58" s="7" t="str">
        <f aca="false">"Child B "&amp;ID_B&amp;" (continue directly after S09)"</f>
        <v>Child B 43607 (continue directly after S09)</v>
      </c>
      <c r="E58" s="7" t="str">
        <f aca="false">S16!C5</f>
        <v>Not run</v>
      </c>
    </row>
    <row r="60" customFormat="false" ht="15" hidden="false" customHeight="false" outlineLevel="0" collapsed="false">
      <c r="D60" s="5" t="s">
        <v>126</v>
      </c>
      <c r="E60" s="7" t="n">
        <f aca="false">COUNTIF($E$43:$E$58,D60)</f>
        <v>0</v>
      </c>
    </row>
    <row r="61" customFormat="false" ht="15" hidden="false" customHeight="false" outlineLevel="0" collapsed="false">
      <c r="D61" s="5" t="s">
        <v>127</v>
      </c>
      <c r="E61" s="7" t="n">
        <f aca="false">COUNTIF($E$43:$E$58,D61)</f>
        <v>0</v>
      </c>
    </row>
    <row r="62" customFormat="false" ht="15" hidden="false" customHeight="false" outlineLevel="0" collapsed="false">
      <c r="D62" s="5" t="s">
        <v>128</v>
      </c>
      <c r="E62" s="7" t="n">
        <f aca="false">COUNTIF($E$43:$E$58,D62)</f>
        <v>0</v>
      </c>
    </row>
    <row r="63" customFormat="false" ht="15" hidden="false" customHeight="false" outlineLevel="0" collapsed="false">
      <c r="D63" s="5" t="s">
        <v>129</v>
      </c>
      <c r="E63" s="7" t="n">
        <f aca="false">COUNTIF($E$43:$E$58,D63)</f>
        <v>0</v>
      </c>
    </row>
    <row r="64" customFormat="false" ht="15" hidden="false" customHeight="false" outlineLevel="0" collapsed="false">
      <c r="D64" s="5" t="s">
        <v>130</v>
      </c>
      <c r="E64" s="7" t="n">
        <f aca="false">COUNTIF($E$43:$E$58,D64)</f>
        <v>16</v>
      </c>
    </row>
    <row r="65" customFormat="false" ht="15" hidden="false" customHeight="false" outlineLevel="0" collapsed="false">
      <c r="D65" s="5" t="s">
        <v>131</v>
      </c>
      <c r="E65" s="7" t="n">
        <f aca="false">SUM(E60:E64)</f>
        <v>16</v>
      </c>
    </row>
  </sheetData>
  <mergeCells count="18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3:E13"/>
    <mergeCell ref="C14:E14"/>
    <mergeCell ref="C15:E15"/>
    <mergeCell ref="C16:E16"/>
    <mergeCell ref="C17:E17"/>
    <mergeCell ref="C18:E18"/>
    <mergeCell ref="A20:E20"/>
    <mergeCell ref="A40:E40"/>
  </mergeCells>
  <hyperlinks>
    <hyperlink ref="B42" r:id="rId1" location="'Setup'!A1" display="Setup"/>
    <hyperlink ref="B43" r:id="rId2" location="'S01'!A1" display="S01"/>
    <hyperlink ref="B44" r:id="rId3" location="'S02'!A1" display="S02"/>
    <hyperlink ref="B45" r:id="rId4" location="'S03'!A1" display="S03"/>
    <hyperlink ref="B46" r:id="rId5" location="'S04'!A1" display="S04"/>
    <hyperlink ref="B47" r:id="rId6" location="'S05'!A1" display="S05"/>
    <hyperlink ref="B48" r:id="rId7" location="'S06'!A1" display="S06"/>
    <hyperlink ref="B49" r:id="rId8" location="'S07'!A1" display="S07"/>
    <hyperlink ref="B50" r:id="rId9" location="'S08'!A1" display="S08"/>
    <hyperlink ref="B51" r:id="rId10" location="'S10'!A1" display="S10"/>
    <hyperlink ref="B52" r:id="rId11" location="'S11'!A1" display="S11"/>
    <hyperlink ref="B53" r:id="rId12" location="'S12'!A1" display="S12"/>
    <hyperlink ref="B54" r:id="rId13" location="'S13'!A1" display="S13"/>
    <hyperlink ref="B55" r:id="rId14" location="'S14'!A1" display="S14"/>
    <hyperlink ref="B56" r:id="rId15" location="'S15'!A1" display="S15"/>
    <hyperlink ref="B57" r:id="rId16" location="'S09'!A1" display="S09"/>
    <hyperlink ref="B58" r:id="rId17" location="'S16'!A1" display="S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134</v>
      </c>
      <c r="D2" s="3"/>
      <c r="E2" s="3"/>
      <c r="F2" s="3"/>
      <c r="G2" s="3"/>
    </row>
    <row r="3" customFormat="false" ht="15" hidden="false" customHeight="true" outlineLevel="0" collapsed="false">
      <c r="A3" s="12"/>
      <c r="B3" s="2" t="s">
        <v>87</v>
      </c>
      <c r="C3" s="3" t="s">
        <v>92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72.75" hidden="false" customHeight="true" outlineLevel="0" collapsed="false">
      <c r="A8" s="5" t="n">
        <v>1</v>
      </c>
      <c r="B8" s="5" t="s">
        <v>145</v>
      </c>
      <c r="C8" s="7" t="s">
        <v>146</v>
      </c>
      <c r="D8" s="4" t="s">
        <v>147</v>
      </c>
      <c r="E8" s="7" t="s">
        <v>148</v>
      </c>
      <c r="F8" s="13"/>
      <c r="G8" s="13"/>
    </row>
    <row r="9" customFormat="false" ht="54" hidden="false" customHeight="true" outlineLevel="0" collapsed="false">
      <c r="A9" s="5" t="n">
        <v>2</v>
      </c>
      <c r="B9" s="5" t="s">
        <v>13</v>
      </c>
      <c r="C9" s="7" t="s">
        <v>149</v>
      </c>
      <c r="D9" s="4" t="s">
        <v>150</v>
      </c>
      <c r="E9" s="7" t="s">
        <v>151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13</v>
      </c>
      <c r="C10" s="7" t="s">
        <v>152</v>
      </c>
      <c r="D10" s="4" t="s">
        <v>153</v>
      </c>
      <c r="E10" s="7" t="s">
        <v>154</v>
      </c>
      <c r="F10" s="13"/>
      <c r="G10" s="13"/>
    </row>
    <row r="11" customFormat="false" ht="67.5" hidden="false" customHeight="true" outlineLevel="0" collapsed="false">
      <c r="A11" s="5" t="n">
        <v>4</v>
      </c>
      <c r="B11" s="5" t="s">
        <v>155</v>
      </c>
      <c r="C11" s="7" t="s">
        <v>156</v>
      </c>
      <c r="D11" s="4" t="s">
        <v>147</v>
      </c>
      <c r="E11" s="7" t="s">
        <v>157</v>
      </c>
      <c r="F11" s="13"/>
      <c r="G11" s="13"/>
    </row>
    <row r="12" customFormat="false" ht="78.75" hidden="false" customHeight="true" outlineLevel="0" collapsed="false">
      <c r="A12" s="5" t="n">
        <v>5</v>
      </c>
      <c r="B12" s="5" t="s">
        <v>158</v>
      </c>
      <c r="C12" s="7" t="s">
        <v>159</v>
      </c>
      <c r="D12" s="4" t="s">
        <v>147</v>
      </c>
      <c r="E12" s="7" t="s">
        <v>160</v>
      </c>
      <c r="F12" s="13"/>
      <c r="G12" s="13"/>
    </row>
    <row r="13" customFormat="false" ht="50.25" hidden="false" customHeight="true" outlineLevel="0" collapsed="false">
      <c r="A13" s="5" t="n">
        <v>6</v>
      </c>
      <c r="B13" s="5" t="s">
        <v>13</v>
      </c>
      <c r="C13" s="7" t="s">
        <v>161</v>
      </c>
      <c r="D13" s="4" t="s">
        <v>162</v>
      </c>
      <c r="E13" s="7" t="s">
        <v>163</v>
      </c>
      <c r="F13" s="13"/>
      <c r="G13" s="13"/>
    </row>
    <row r="14" customFormat="false" ht="89.25" hidden="false" customHeight="true" outlineLevel="0" collapsed="false">
      <c r="A14" s="5" t="n">
        <v>7</v>
      </c>
      <c r="B14" s="5" t="s">
        <v>19</v>
      </c>
      <c r="C14" s="7" t="s">
        <v>164</v>
      </c>
      <c r="D14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4" s="7" t="s">
        <v>165</v>
      </c>
      <c r="F14" s="13"/>
      <c r="G14" s="13"/>
    </row>
    <row r="15" customFormat="false" ht="54" hidden="false" customHeight="true" outlineLevel="0" collapsed="false">
      <c r="A15" s="5" t="n">
        <v>8</v>
      </c>
      <c r="B15" s="5" t="s">
        <v>13</v>
      </c>
      <c r="C15" s="7" t="s">
        <v>166</v>
      </c>
      <c r="D15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5" s="7" t="s">
        <v>167</v>
      </c>
      <c r="F15" s="13"/>
      <c r="G15" s="13"/>
    </row>
    <row r="16" customFormat="false" ht="105" hidden="false" customHeight="true" outlineLevel="0" collapsed="false">
      <c r="A16" s="5" t="n">
        <v>9</v>
      </c>
      <c r="B16" s="5" t="s">
        <v>13</v>
      </c>
      <c r="C16" s="7" t="s">
        <v>168</v>
      </c>
      <c r="D16" s="4" t="s">
        <v>169</v>
      </c>
      <c r="E16" s="7" t="s">
        <v>170</v>
      </c>
      <c r="F16" s="13"/>
      <c r="G16" s="13"/>
    </row>
    <row r="17" customFormat="false" ht="45" hidden="false" customHeight="true" outlineLevel="0" collapsed="false">
      <c r="A17" s="5" t="n">
        <v>10</v>
      </c>
      <c r="B17" s="5" t="s">
        <v>13</v>
      </c>
      <c r="C17" s="7" t="s">
        <v>171</v>
      </c>
      <c r="D17" s="4" t="s">
        <v>172</v>
      </c>
      <c r="E17" s="7" t="s">
        <v>173</v>
      </c>
      <c r="F17" s="13"/>
      <c r="G17" s="13"/>
    </row>
    <row r="18" customFormat="false" ht="107.25" hidden="false" customHeight="true" outlineLevel="0" collapsed="false">
      <c r="A18" s="5" t="n">
        <v>11</v>
      </c>
      <c r="B18" s="5" t="s">
        <v>13</v>
      </c>
      <c r="C18" s="7" t="s">
        <v>174</v>
      </c>
      <c r="D18" s="4" t="str">
        <f aca="false">"SELECT page_id, dependency_page_id, type, relationship_label, is_broken FROM page_dependency WHERE page_id IN ('"&amp;ID_PA&amp;"','"&amp;ID_PB&amp;"','"&amp;ID_AA&amp;"','"&amp;ID_B&amp;"','"&amp;ID_C&amp;"','"&amp;ID_S5&amp;"','"&amp;ID_S14&amp;"','"&amp;ID_S15&amp;"') ORDER BY page_id, dependency_page_id"</f>
        <v>SELECT page_id, dependency_page_id, type, relationship_label, is_broken FROM page_dependency WHERE page_id IN ('43601','43603','43609','43607','&lt;CHILD_C_ID&gt;','&lt;S5_ID&gt;','&lt;S14_ID&gt;','&lt;S15_ID&gt;') ORDER BY page_id, dependency_page_id</v>
      </c>
      <c r="E18" s="7" t="s">
        <v>175</v>
      </c>
      <c r="F18" s="13"/>
      <c r="G18" s="13"/>
    </row>
    <row r="19" customFormat="false" ht="45.75" hidden="false" customHeight="true" outlineLevel="0" collapsed="false">
      <c r="A19" s="5" t="n">
        <v>12</v>
      </c>
      <c r="B19" s="5" t="s">
        <v>155</v>
      </c>
      <c r="C19" s="7" t="s">
        <v>176</v>
      </c>
      <c r="D19" s="4" t="str">
        <f aca="false">"Bucket: "&amp;GCS_JSON&amp;"   Path: "&amp;GCS_FOLDER&amp;"/"&amp;ID_AA&amp;"/metadata.json"</f>
        <v>Bucket: &lt;JSON_BUCKET&gt;   Path: &lt;FOLDER&gt;/43609/metadata.json</v>
      </c>
      <c r="E19" s="7" t="s">
        <v>177</v>
      </c>
      <c r="F19" s="13"/>
      <c r="G19" s="13"/>
    </row>
    <row r="22" customFormat="false" ht="15" hidden="false" customHeight="true" outlineLevel="0" collapsed="false">
      <c r="A22" s="14" t="s">
        <v>178</v>
      </c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2" t="s">
        <v>22</v>
      </c>
      <c r="B23" s="2" t="s">
        <v>179</v>
      </c>
      <c r="C23" s="2" t="s">
        <v>180</v>
      </c>
      <c r="D23" s="2" t="s">
        <v>181</v>
      </c>
      <c r="E23" s="2" t="s">
        <v>182</v>
      </c>
      <c r="F23" s="2" t="s">
        <v>183</v>
      </c>
      <c r="G23" s="2"/>
    </row>
    <row r="24" customFormat="false" ht="69.75" hidden="false" customHeight="true" outlineLevel="0" collapsed="false">
      <c r="A24" s="7" t="n">
        <v>1</v>
      </c>
      <c r="B24" s="5" t="s">
        <v>184</v>
      </c>
      <c r="C24" s="7" t="s">
        <v>185</v>
      </c>
      <c r="D24" s="4" t="s">
        <v>186</v>
      </c>
      <c r="E24" s="7" t="s">
        <v>187</v>
      </c>
      <c r="F24" s="7" t="s">
        <v>188</v>
      </c>
      <c r="G24" s="7"/>
    </row>
    <row r="25" customFormat="false" ht="69.75" hidden="false" customHeight="true" outlineLevel="0" collapsed="false">
      <c r="A25" s="7" t="n">
        <v>2</v>
      </c>
      <c r="B25" s="5" t="s">
        <v>189</v>
      </c>
      <c r="C25" s="7" t="s">
        <v>185</v>
      </c>
      <c r="D25" s="4" t="s">
        <v>190</v>
      </c>
      <c r="E25" s="7" t="s">
        <v>191</v>
      </c>
      <c r="F25" s="7" t="s">
        <v>192</v>
      </c>
      <c r="G25" s="7"/>
    </row>
    <row r="26" customFormat="false" ht="69.75" hidden="false" customHeight="true" outlineLevel="0" collapsed="false">
      <c r="A26" s="7" t="n">
        <v>3</v>
      </c>
      <c r="B26" s="5" t="s">
        <v>193</v>
      </c>
      <c r="C26" s="7" t="s">
        <v>194</v>
      </c>
      <c r="D26" s="4" t="s">
        <v>195</v>
      </c>
      <c r="E26" s="7" t="s">
        <v>196</v>
      </c>
      <c r="F26" s="7" t="s">
        <v>197</v>
      </c>
      <c r="G26" s="7"/>
    </row>
    <row r="27" customFormat="false" ht="69.75" hidden="false" customHeight="true" outlineLevel="0" collapsed="false">
      <c r="A27" s="7" t="n">
        <v>4</v>
      </c>
      <c r="B27" s="5" t="s">
        <v>198</v>
      </c>
      <c r="C27" s="7" t="s">
        <v>194</v>
      </c>
      <c r="D27" s="4" t="s">
        <v>199</v>
      </c>
      <c r="E27" s="7" t="s">
        <v>200</v>
      </c>
      <c r="F27" s="7" t="s">
        <v>201</v>
      </c>
      <c r="G27" s="7"/>
    </row>
    <row r="28" customFormat="false" ht="69.75" hidden="false" customHeight="true" outlineLevel="0" collapsed="false">
      <c r="A28" s="7" t="n">
        <v>5</v>
      </c>
      <c r="B28" s="5" t="s">
        <v>202</v>
      </c>
      <c r="C28" s="7" t="s">
        <v>194</v>
      </c>
      <c r="D28" s="4" t="s">
        <v>203</v>
      </c>
      <c r="E28" s="7" t="s">
        <v>191</v>
      </c>
      <c r="F28" s="7" t="s">
        <v>204</v>
      </c>
      <c r="G28" s="7"/>
    </row>
    <row r="29" customFormat="false" ht="69.75" hidden="false" customHeight="true" outlineLevel="0" collapsed="false">
      <c r="A29" s="7" t="n">
        <v>6</v>
      </c>
      <c r="B29" s="5" t="s">
        <v>205</v>
      </c>
      <c r="C29" s="7" t="s">
        <v>206</v>
      </c>
      <c r="D29" s="4" t="s">
        <v>207</v>
      </c>
      <c r="E29" s="7" t="s">
        <v>200</v>
      </c>
      <c r="F29" s="7" t="s">
        <v>101</v>
      </c>
      <c r="G29" s="7"/>
    </row>
    <row r="30" customFormat="false" ht="69.75" hidden="false" customHeight="true" outlineLevel="0" collapsed="false">
      <c r="A30" s="7" t="n">
        <v>7</v>
      </c>
      <c r="B30" s="5" t="s">
        <v>208</v>
      </c>
      <c r="C30" s="7" t="s">
        <v>206</v>
      </c>
      <c r="D30" s="4" t="s">
        <v>209</v>
      </c>
      <c r="E30" s="7" t="s">
        <v>200</v>
      </c>
      <c r="F30" s="7" t="s">
        <v>118</v>
      </c>
      <c r="G30" s="7"/>
    </row>
    <row r="31" customFormat="false" ht="69.75" hidden="false" customHeight="true" outlineLevel="0" collapsed="false">
      <c r="A31" s="7" t="n">
        <v>8</v>
      </c>
      <c r="B31" s="5" t="s">
        <v>210</v>
      </c>
      <c r="C31" s="7" t="s">
        <v>206</v>
      </c>
      <c r="D31" s="4" t="s">
        <v>211</v>
      </c>
      <c r="E31" s="7" t="s">
        <v>212</v>
      </c>
      <c r="F31" s="7" t="s">
        <v>120</v>
      </c>
      <c r="G31" s="7"/>
    </row>
    <row r="32" customFormat="false" ht="69.75" hidden="false" customHeight="true" outlineLevel="0" collapsed="false">
      <c r="A32" s="7" t="n">
        <v>9</v>
      </c>
      <c r="B32" s="5" t="s">
        <v>213</v>
      </c>
      <c r="C32" s="7" t="s">
        <v>214</v>
      </c>
      <c r="D32" s="4" t="s">
        <v>147</v>
      </c>
      <c r="E32" s="7" t="s">
        <v>147</v>
      </c>
      <c r="F32" s="7" t="s">
        <v>147</v>
      </c>
      <c r="G32" s="7"/>
    </row>
  </sheetData>
  <mergeCells count="4">
    <mergeCell ref="A1:G1"/>
    <mergeCell ref="C2:G2"/>
    <mergeCell ref="C3:G3"/>
    <mergeCell ref="A22:G22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9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216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"Parent A "&amp;ID_PA&amp;", Child B "&amp;ID_B&amp;", new page 'QA New Page S1'"</f>
        <v>Parent A 43601, Child B 43607, new page 'QA New Page S1'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156" hidden="false" customHeight="true" outlineLevel="0" collapsed="false">
      <c r="A9" s="5" t="n">
        <v>2</v>
      </c>
      <c r="B9" s="5" t="s">
        <v>158</v>
      </c>
      <c r="C9" s="7" t="s">
        <v>217</v>
      </c>
      <c r="D9" s="4" t="s">
        <v>147</v>
      </c>
      <c r="E9" s="7" t="s">
        <v>218</v>
      </c>
      <c r="F9" s="13"/>
      <c r="G9" s="13"/>
    </row>
    <row r="10" customFormat="false" ht="89.25" hidden="false" customHeight="true" outlineLevel="0" collapsed="false">
      <c r="A10" s="5" t="n">
        <v>3</v>
      </c>
      <c r="B10" s="5" t="s">
        <v>19</v>
      </c>
      <c r="C10" s="7" t="s">
        <v>164</v>
      </c>
      <c r="D10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0" s="7" t="s">
        <v>165</v>
      </c>
      <c r="F10" s="13"/>
      <c r="G10" s="13"/>
    </row>
    <row r="11" customFormat="false" ht="54" hidden="false" customHeight="true" outlineLevel="0" collapsed="false">
      <c r="A11" s="5" t="n">
        <v>4</v>
      </c>
      <c r="B11" s="5" t="s">
        <v>13</v>
      </c>
      <c r="C11" s="7" t="s">
        <v>166</v>
      </c>
      <c r="D11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1" s="7" t="s">
        <v>167</v>
      </c>
      <c r="F11" s="13"/>
      <c r="G11" s="13"/>
    </row>
    <row r="12" customFormat="false" ht="63.75" hidden="false" customHeight="true" outlineLevel="0" collapsed="false">
      <c r="A12" s="5" t="n">
        <v>5</v>
      </c>
      <c r="B12" s="5" t="s">
        <v>13</v>
      </c>
      <c r="C12" s="7" t="s">
        <v>219</v>
      </c>
      <c r="D12" s="4" t="s">
        <v>220</v>
      </c>
      <c r="E12" s="7" t="s">
        <v>221</v>
      </c>
      <c r="F12" s="13"/>
      <c r="G12" s="13"/>
    </row>
    <row r="13" customFormat="false" ht="79.5" hidden="false" customHeight="true" outlineLevel="0" collapsed="false">
      <c r="A13" s="5" t="n">
        <v>6</v>
      </c>
      <c r="B13" s="5" t="s">
        <v>13</v>
      </c>
      <c r="C13" s="7" t="s">
        <v>222</v>
      </c>
      <c r="D13" s="4" t="str">
        <f aca="false">"SELECT page_id, title, page_type, revision, deleted, unpublished, content_size, summary, systems, channels, primary_intents, confidence_score, source_object_name, ingested_at FROM page WHERE page_id ="&amp;" '"&amp;ID_S1&amp;"'"</f>
        <v>SELECT page_id, title, page_type, revision, deleted, unpublished, content_size, summary, systems, channels, primary_intents, confidence_score, source_object_name, ingested_at FROM page WHERE page_id = '&lt;S1_ID&gt;'</v>
      </c>
      <c r="E13" s="7" t="s">
        <v>223</v>
      </c>
      <c r="F13" s="13"/>
      <c r="G13" s="13"/>
    </row>
    <row r="14" customFormat="false" ht="86.25" hidden="false" customHeight="true" outlineLevel="0" collapsed="false">
      <c r="A14" s="5" t="n">
        <v>7</v>
      </c>
      <c r="B14" s="5" t="s">
        <v>13</v>
      </c>
      <c r="C14" s="7" t="s">
        <v>224</v>
      </c>
      <c r="D14" s="4" t="str">
        <f aca="false">"SELECT page_id, dependency_page_id, type, relationship_label, relationship_confidence, relationship_reasoning, is_broken FROM page_dependency WHERE page_id = '"&amp;ID_S1&amp;"'"</f>
        <v>SELECT page_id, dependency_page_id, type, relationship_label, relationship_confidence, relationship_reasoning, is_broken FROM page_dependency WHERE page_id = '&lt;S1_ID&gt;'</v>
      </c>
      <c r="E14" s="7" t="str">
        <f aca="false">"1 row: dependency_page_id = "&amp;ID_B&amp;" · type = internal · relationship_label = one of escalation / next_step / prerequisite / conditional_guidance / procedural_guidance · relationship_confidence between 0 and 1 · relationship_reasoning n"&amp;"ot empty · is_broken = false."</f>
        <v>1 row: dependency_page_id = 43607 · type = internal · relationship_label = one of escalation / next_step / prerequisite / conditional_guidance / procedural_guidance · relationship_confidence between 0 and 1 · relationship_reasoning not empty · is_broken = false.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225</v>
      </c>
      <c r="D15" s="4" t="str">
        <f aca="false">"SELECT page_id, dependency_page_id, type FROM page_dependency WHERE dependency_page_id = '"&amp;ID_S1&amp;"'"</f>
        <v>SELECT page_id, dependency_page_id, type FROM page_dependency WHERE dependency_page_id = '&lt;S1_ID&gt;'</v>
      </c>
      <c r="E15" s="7" t="str">
        <f aca="false">"1 row: page_id = "&amp;ID_PA&amp;" (Parent A) · type = subpage."</f>
        <v>1 row: page_id = 43601 (Parent A) · type = subpage.</v>
      </c>
      <c r="F15" s="13"/>
      <c r="G15" s="13"/>
    </row>
    <row r="16" customFormat="false" ht="57" hidden="false" customHeight="true" outlineLevel="0" collapsed="false">
      <c r="A16" s="5" t="n">
        <v>9</v>
      </c>
      <c r="B16" s="5" t="s">
        <v>13</v>
      </c>
      <c r="C16" s="7" t="s">
        <v>226</v>
      </c>
      <c r="D16" s="4" t="str">
        <f aca="false">"SELECT page_id, job_type, load_type, status, has_errors, error_details, revision, ingested_at FROM page_audit WHERE page_id IN ('"&amp;ID_S1&amp;"') AND ingested_at &gt; TIMESTAMP('"&amp;$C$4&amp;"') ORDER BY ingested_at"</f>
        <v>SELECT page_id, job_type, load_type, status, has_errors, error_details, revision, ingested_at FROM page_audit WHERE page_id IN ('&lt;S1_ID&gt;') AND ingested_at &gt; TIMESTAMP('&lt;paste start time from step 1&gt;') ORDER BY ingested_at</v>
      </c>
      <c r="E16" s="7" t="s">
        <v>227</v>
      </c>
      <c r="F16" s="13"/>
      <c r="G16" s="13"/>
    </row>
    <row r="17" customFormat="false" ht="45.75" hidden="false" customHeight="true" outlineLevel="0" collapsed="false">
      <c r="A17" s="5" t="n">
        <v>10</v>
      </c>
      <c r="B17" s="5" t="s">
        <v>155</v>
      </c>
      <c r="C17" s="7" t="s">
        <v>176</v>
      </c>
      <c r="D17" s="4" t="str">
        <f aca="false">"Bucket: "&amp;GCS_JSON&amp;"   Path: "&amp;GCS_FOLDER&amp;"/"&amp;ID_S1&amp;"/metadata.json"</f>
        <v>Bucket: &lt;JSON_BUCKET&gt;   Path: &lt;FOLDER&gt;/&lt;S1_ID&gt;/metadata.json</v>
      </c>
      <c r="E17" s="7" t="s">
        <v>228</v>
      </c>
      <c r="F17" s="13"/>
      <c r="G17" s="13"/>
    </row>
    <row r="18" customFormat="false" ht="45" hidden="false" customHeight="true" outlineLevel="0" collapsed="false">
      <c r="A18" s="5" t="n">
        <v>11</v>
      </c>
      <c r="B18" s="5" t="s">
        <v>155</v>
      </c>
      <c r="C18" s="7" t="s">
        <v>229</v>
      </c>
      <c r="D18" s="4" t="str">
        <f aca="false">"Bucket: "&amp;GCS_MD&amp;"   Path: "&amp;GCS_FOLDER&amp;"/"&amp;ID_S1&amp;"/page.md"</f>
        <v>Bucket: &lt;MD_BUCKET&gt;   Path: &lt;FOLDER&gt;/&lt;S1_ID&gt;/page.md</v>
      </c>
      <c r="E18" s="7" t="s">
        <v>230</v>
      </c>
      <c r="F18" s="13"/>
      <c r="G18" s="13"/>
    </row>
    <row r="19" customFormat="false" ht="45" hidden="false" customHeight="true" outlineLevel="0" collapsed="false">
      <c r="A19" s="5" t="n">
        <v>12</v>
      </c>
      <c r="B19" s="5" t="s">
        <v>155</v>
      </c>
      <c r="C19" s="7" t="s">
        <v>231</v>
      </c>
      <c r="D19" s="4" t="str">
        <f aca="false">"Bucket: "&amp;GCS_HTML&amp;"   Path: "&amp;GCS_FOLDER&amp;"/"&amp;ID_S1&amp;"/page.html"</f>
        <v>Bucket: &lt;HTML_BUCKET&gt;   Path: &lt;FOLDER&gt;/&lt;S1_ID&gt;/page.html</v>
      </c>
      <c r="E19" s="7" t="s">
        <v>232</v>
      </c>
      <c r="F19" s="13"/>
      <c r="G19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9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233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234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AA "&amp;ID_AA</f>
        <v>Child AA 43609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235</v>
      </c>
      <c r="D9" s="4" t="str">
        <f aca="false">"SELECT page_id, title, revision, content_size, date_modified, summary, ingested_at FROM page WHERE page_id = '"&amp;ID_AA&amp;"'"</f>
        <v>SELECT page_id, title, revision, content_size, date_modified, summary, ingested_at FROM page WHERE page_id = '43609'</v>
      </c>
      <c r="E9" s="7" t="s">
        <v>236</v>
      </c>
      <c r="F9" s="13"/>
      <c r="G9" s="13"/>
    </row>
    <row r="10" customFormat="false" ht="90.75" hidden="false" customHeight="true" outlineLevel="0" collapsed="false">
      <c r="A10" s="5" t="n">
        <v>3</v>
      </c>
      <c r="B10" s="5" t="s">
        <v>158</v>
      </c>
      <c r="C10" s="7" t="s">
        <v>237</v>
      </c>
      <c r="D10" s="4" t="s">
        <v>147</v>
      </c>
      <c r="E10" s="7" t="s">
        <v>238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58.5" hidden="false" customHeight="true" outlineLevel="0" collapsed="false">
      <c r="A13" s="5" t="n">
        <v>6</v>
      </c>
      <c r="B13" s="5" t="s">
        <v>13</v>
      </c>
      <c r="C13" s="7" t="s">
        <v>239</v>
      </c>
      <c r="D13" s="4" t="str">
        <f aca="false">"SELECT page_id, title, revision, content_size, date_modified, summary, ingested_at FROM page WHERE page_id = '"&amp;ID_AA&amp;"'"</f>
        <v>SELECT page_id, title, revision, content_size, date_modified, summary, ingested_at FROM page WHERE page_id = '43609'</v>
      </c>
      <c r="E13" s="7" t="s">
        <v>240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241</v>
      </c>
      <c r="D14" s="4" t="str">
        <f aca="false">"SELECT COUNT(*) AS n FROM page WHERE page_id = '"&amp;ID_AA&amp;"'"</f>
        <v>SELECT COUNT(*) AS n FROM page WHERE page_id = '43609'</v>
      </c>
      <c r="E14" s="7" t="s">
        <v>242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243</v>
      </c>
      <c r="D15" s="4" t="str">
        <f aca="false">"SELECT dependency_page_id, type, relationship_label, is_broken FROM page_dependency WHERE page_id = '"&amp;ID_AA&amp;"' ORDER BY dependency_page_id"</f>
        <v>SELECT dependency_page_id, type, relationship_label, is_broken FROM page_dependency WHERE page_id = '43609' ORDER BY dependency_page_id</v>
      </c>
      <c r="E15" s="7" t="str">
        <f aca="false">"Same targets as in Setup_links_baseline for Child AA: "&amp;ID_B&amp;", "&amp;ID_C&amp;", "&amp;ID_REAL&amp;" (internal) and 00000 (external)."</f>
        <v>Same targets as in Setup_links_baseline for Child AA: 43607, &lt;CHILD_C_ID&gt;, &lt;REAL_ID&gt; (internal) and 00000 (external).</v>
      </c>
      <c r="F15" s="13"/>
      <c r="G15" s="13"/>
    </row>
    <row r="16" customFormat="false" ht="57" hidden="false" customHeight="true" outlineLevel="0" collapsed="false">
      <c r="A16" s="5" t="n">
        <v>9</v>
      </c>
      <c r="B16" s="5" t="s">
        <v>13</v>
      </c>
      <c r="C16" s="7" t="s">
        <v>226</v>
      </c>
      <c r="D16" s="4" t="str">
        <f aca="false">"SELECT page_id, job_type, load_type, status, has_errors, error_details, revision, ingested_at FROM page_audit WHERE page_id IN ('"&amp;ID_AA&amp;"') AND ingested_at &gt; TIMESTAMP('"&amp;$C$4&amp;"') ORDER BY ingested_at"</f>
        <v>SELECT page_id, job_type, load_type, status, has_errors, error_details, revision, ingested_at FROM page_audit WHERE page_id IN ('43609') AND ingested_at &gt; TIMESTAMP('&lt;paste start time from step 1&gt;') ORDER BY ingested_at</v>
      </c>
      <c r="E16" s="7" t="s">
        <v>244</v>
      </c>
      <c r="F16" s="13"/>
      <c r="G16" s="13"/>
    </row>
    <row r="17" customFormat="false" ht="45" hidden="false" customHeight="true" outlineLevel="0" collapsed="false">
      <c r="A17" s="5" t="n">
        <v>10</v>
      </c>
      <c r="B17" s="5" t="s">
        <v>155</v>
      </c>
      <c r="C17" s="7" t="s">
        <v>229</v>
      </c>
      <c r="D17" s="4" t="str">
        <f aca="false">"Bucket: "&amp;GCS_MD&amp;"   Path: "&amp;GCS_FOLDER&amp;"/"&amp;ID_AA&amp;"/page.md"</f>
        <v>Bucket: &lt;MD_BUCKET&gt;   Path: &lt;FOLDER&gt;/43609/page.md</v>
      </c>
      <c r="E17" s="7" t="s">
        <v>245</v>
      </c>
      <c r="F17" s="13"/>
      <c r="G17" s="13"/>
    </row>
    <row r="18" customFormat="false" ht="45.75" hidden="false" customHeight="true" outlineLevel="0" collapsed="false">
      <c r="A18" s="5" t="n">
        <v>11</v>
      </c>
      <c r="B18" s="5" t="s">
        <v>155</v>
      </c>
      <c r="C18" s="7" t="s">
        <v>176</v>
      </c>
      <c r="D18" s="4" t="str">
        <f aca="false">"Bucket: "&amp;GCS_JSON&amp;"   Path: "&amp;GCS_FOLDER&amp;"/"&amp;ID_AA&amp;"/metadata.json"</f>
        <v>Bucket: &lt;JSON_BUCKET&gt;   Path: &lt;FOLDER&gt;/43609/metadata.json</v>
      </c>
      <c r="E18" s="7" t="s">
        <v>246</v>
      </c>
      <c r="F18" s="13"/>
      <c r="G18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8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248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AA "&amp;ID_AA&amp;" (link to Child C "&amp;ID_C&amp;" is removed)"</f>
        <v>Child AA 43609 (link to Child C &lt;CHILD_C_ID&gt; is removed)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249</v>
      </c>
      <c r="D9" s="4" t="str">
        <f aca="false">"SELECT dependency_page_id, type, href, is_broken FROM page_dependency WHERE page_id = '"&amp;ID_AA&amp;"' ORDER BY dependency_page_id"</f>
        <v>SELECT dependency_page_id, type, href, is_broken FROM page_dependency WHERE page_id = '43609' ORDER BY dependency_page_id</v>
      </c>
      <c r="E9" s="7" t="str">
        <f aca="false">"Contains "&amp;ID_C&amp;" (Child C)."</f>
        <v>Contains &lt;CHILD_C_ID&gt; (Child C).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158</v>
      </c>
      <c r="C10" s="7" t="s">
        <v>250</v>
      </c>
      <c r="D10" s="4" t="s">
        <v>147</v>
      </c>
      <c r="E10" s="7" t="s">
        <v>251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45" hidden="false" customHeight="true" outlineLevel="0" collapsed="false">
      <c r="A13" s="5" t="n">
        <v>6</v>
      </c>
      <c r="B13" s="5" t="s">
        <v>13</v>
      </c>
      <c r="C13" s="7" t="s">
        <v>252</v>
      </c>
      <c r="D13" s="4" t="str">
        <f aca="false">"SELECT COUNT(*) AS stale_rows FROM page_dependency WHERE page_id = '"&amp;ID_AA&amp;"' AND dependency_page_id = '"&amp;ID_C&amp;"'"</f>
        <v>SELECT COUNT(*) AS stale_rows FROM page_dependency WHERE page_id = '43609' AND dependency_page_id = '&lt;CHILD_C_ID&gt;'</v>
      </c>
      <c r="E13" s="7" t="s">
        <v>253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254</v>
      </c>
      <c r="D14" s="4" t="str">
        <f aca="false">"SELECT dependency_page_id, type, is_broken FROM page_dependency WHERE page_id = '"&amp;ID_AA&amp;"' ORDER BY dependency_page_id"</f>
        <v>SELECT dependency_page_id, type, is_broken FROM page_dependency WHERE page_id = '43609' ORDER BY dependency_page_id</v>
      </c>
      <c r="E14" s="7" t="str">
        <f aca="false">"Contains "&amp;ID_B&amp;", "&amp;ID_REAL&amp;", 00000. Does NOT contain "&amp;ID_C&amp;". is_broken = false."</f>
        <v>Contains 43607, &lt;REAL_ID&gt;, 00000. Does NOT contain &lt;CHILD_C_ID&gt;. is_broken = false.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255</v>
      </c>
      <c r="D15" s="4" t="str">
        <f aca="false">"SELECT revision, ingested_at FROM page WHERE page_id = '"&amp;ID_AA&amp;"'"</f>
        <v>SELECT revision, ingested_at FROM page WHERE page_id = '43609'</v>
      </c>
      <c r="E15" s="7" t="s">
        <v>256</v>
      </c>
      <c r="F15" s="13"/>
      <c r="G15" s="13"/>
    </row>
    <row r="16" customFormat="false" ht="57" hidden="false" customHeight="true" outlineLevel="0" collapsed="false">
      <c r="A16" s="5" t="n">
        <v>9</v>
      </c>
      <c r="B16" s="5" t="s">
        <v>13</v>
      </c>
      <c r="C16" s="7" t="s">
        <v>226</v>
      </c>
      <c r="D16" s="4" t="str">
        <f aca="false">"SELECT page_id, job_type, load_type, status, has_errors, error_details, revision, ingested_at FROM page_audit WHERE page_id IN ('"&amp;ID_AA&amp;"') AND ingested_at &gt; TIMESTAMP('"&amp;$C$4&amp;"') ORDER BY ingested_at"</f>
        <v>SELECT page_id, job_type, load_type, status, has_errors, error_details, revision, ingested_at FROM page_audit WHERE page_id IN ('43609') AND ingested_at &gt; TIMESTAMP('&lt;paste start time from step 1&gt;') ORDER BY ingested_at</v>
      </c>
      <c r="E16" s="7" t="s">
        <v>257</v>
      </c>
      <c r="F16" s="13"/>
      <c r="G16" s="13"/>
    </row>
    <row r="17" customFormat="false" ht="45.75" hidden="false" customHeight="true" outlineLevel="0" collapsed="false">
      <c r="A17" s="5" t="n">
        <v>10</v>
      </c>
      <c r="B17" s="5" t="s">
        <v>155</v>
      </c>
      <c r="C17" s="7" t="s">
        <v>176</v>
      </c>
      <c r="D17" s="4" t="str">
        <f aca="false">"Bucket: "&amp;GCS_JSON&amp;"   Path: "&amp;GCS_FOLDER&amp;"/"&amp;ID_AA&amp;"/metadata.json"</f>
        <v>Bucket: &lt;JSON_BUCKET&gt;   Path: &lt;FOLDER&gt;/43609/metadata.json</v>
      </c>
      <c r="E17" s="7" t="str">
        <f aca="false">"Updated after start time. Search the file for "&amp;ID_C&amp;": it must NOT appear in the relationship list."</f>
        <v>Updated after start time. Search the file for &lt;CHILD_C_ID&gt;: it must NOT appear in the relationship list.</v>
      </c>
      <c r="F17" s="13"/>
      <c r="G17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7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258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259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AA "&amp;ID_AA&amp;" (new link to Parent A "&amp;ID_PA&amp;")"</f>
        <v>Child AA 43609 (new link to Parent A 43601)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260</v>
      </c>
      <c r="D9" s="4" t="str">
        <f aca="false">"SELECT COUNT(*) AS links FROM page_dependency WHERE page_id = '"&amp;ID_AA&amp;"'"</f>
        <v>SELECT COUNT(*) AS links FROM page_dependency WHERE page_id = '43609'</v>
      </c>
      <c r="E9" s="7" t="s">
        <v>261</v>
      </c>
      <c r="F9" s="13"/>
      <c r="G9" s="13"/>
    </row>
    <row r="10" customFormat="false" ht="52.5" hidden="false" customHeight="true" outlineLevel="0" collapsed="false">
      <c r="A10" s="5" t="n">
        <v>3</v>
      </c>
      <c r="B10" s="5" t="s">
        <v>158</v>
      </c>
      <c r="C10" s="7" t="s">
        <v>262</v>
      </c>
      <c r="D10" s="4" t="s">
        <v>147</v>
      </c>
      <c r="E10" s="7" t="s">
        <v>251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87.75" hidden="false" customHeight="true" outlineLevel="0" collapsed="false">
      <c r="A13" s="5" t="n">
        <v>6</v>
      </c>
      <c r="B13" s="5" t="s">
        <v>13</v>
      </c>
      <c r="C13" s="7" t="s">
        <v>263</v>
      </c>
      <c r="D13" s="4" t="str">
        <f aca="false">"SELECT dependency_page_id, type, relationship_label, relationship_confidence, relationship_reasoning, text, href, is_broken FROM page_dependency WHERE page_id = '"&amp;ID_AA&amp;"' AND dependency_page_id = '"&amp;ID_PA&amp;"'"</f>
        <v>SELECT dependency_page_id, type, relationship_label, relationship_confidence, relationship_reasoning, text, href, is_broken FROM page_dependency WHERE page_id = '43609' AND dependency_page_id = '43601'</v>
      </c>
      <c r="E13" s="7" t="s">
        <v>264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265</v>
      </c>
      <c r="D14" s="4" t="str">
        <f aca="false">"SELECT COUNT(*) AS links FROM page_dependency WHERE page_id = '"&amp;ID_AA&amp;"'"</f>
        <v>SELECT COUNT(*) AS links FROM page_dependency WHERE page_id = '43609'</v>
      </c>
      <c r="E14" s="7" t="s">
        <v>266</v>
      </c>
      <c r="F14" s="13"/>
      <c r="G14" s="13"/>
    </row>
    <row r="15" customFormat="false" ht="57" hidden="false" customHeight="true" outlineLevel="0" collapsed="false">
      <c r="A15" s="5" t="n">
        <v>8</v>
      </c>
      <c r="B15" s="5" t="s">
        <v>13</v>
      </c>
      <c r="C15" s="7" t="s">
        <v>226</v>
      </c>
      <c r="D15" s="4" t="str">
        <f aca="false">"SELECT page_id, job_type, load_type, status, has_errors, error_details, revision, ingested_at FROM page_audit WHERE page_id IN ('"&amp;ID_AA&amp;"') AND ingested_at &gt; TIMESTAMP('"&amp;$C$4&amp;"') ORDER BY ingested_at"</f>
        <v>SELECT page_id, job_type, load_type, status, has_errors, error_details, revision, ingested_at FROM page_audit WHERE page_id IN ('43609') AND ingested_at &gt; TIMESTAMP('&lt;paste start time from step 1&gt;') ORDER BY ingested_at</v>
      </c>
      <c r="E15" s="7" t="s">
        <v>257</v>
      </c>
      <c r="F15" s="13"/>
      <c r="G15" s="13"/>
    </row>
    <row r="16" customFormat="false" ht="45.75" hidden="false" customHeight="true" outlineLevel="0" collapsed="false">
      <c r="A16" s="5" t="n">
        <v>9</v>
      </c>
      <c r="B16" s="5" t="s">
        <v>155</v>
      </c>
      <c r="C16" s="7" t="s">
        <v>176</v>
      </c>
      <c r="D16" s="4" t="str">
        <f aca="false">"Bucket: "&amp;GCS_JSON&amp;"   Path: "&amp;GCS_FOLDER&amp;"/"&amp;ID_AA&amp;"/metadata.json"</f>
        <v>Bucket: &lt;JSON_BUCKET&gt;   Path: &lt;FOLDER&gt;/43609/metadata.json</v>
      </c>
      <c r="E16" s="7" t="str">
        <f aca="false">"Updated after start time and contains "&amp;ID_PA&amp;"."</f>
        <v>Updated after start time and contains 43601.</v>
      </c>
      <c r="F16" s="13"/>
      <c r="G16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268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"QA Delete Me S5 "&amp;ID_S5&amp;" (child of Parent A "&amp;ID_PA&amp;")"</f>
        <v>QA Delete Me S5 &lt;S5_ID&gt; (child of Parent A 43601)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269</v>
      </c>
      <c r="D9" s="4" t="str">
        <f aca="false">"SELECT page_id, dependency_page_id, type FROM page_dependency WHERE page_id = '"&amp;ID_S5&amp;"' OR dependency_page_id = '"&amp;ID_S5&amp;"'"</f>
        <v>SELECT page_id, dependency_page_id, type FROM page_dependency WHERE page_id = '&lt;S5_ID&gt;' OR dependency_page_id = '&lt;S5_ID&gt;'</v>
      </c>
      <c r="E9" s="7" t="str">
        <f aca="false">"At least the row page_id = "&amp;ID_PA&amp;" → "&amp;ID_S5&amp;", type = subpage."</f>
        <v>At least the row page_id = 43601 → &lt;S5_ID&gt;, type = subpage.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158</v>
      </c>
      <c r="C10" s="7" t="s">
        <v>270</v>
      </c>
      <c r="D10" s="4" t="s">
        <v>147</v>
      </c>
      <c r="E10" s="7" t="s">
        <v>271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45" hidden="false" customHeight="true" outlineLevel="0" collapsed="false">
      <c r="A13" s="5" t="n">
        <v>6</v>
      </c>
      <c r="B13" s="5" t="s">
        <v>13</v>
      </c>
      <c r="C13" s="7" t="s">
        <v>272</v>
      </c>
      <c r="D13" s="4" t="str">
        <f aca="false">"SELECT COUNT(*) AS n FROM page WHERE page_id = '"&amp;ID_S5&amp;"'"</f>
        <v>SELECT COUNT(*) AS n FROM page WHERE page_id = '&lt;S5_ID&gt;'</v>
      </c>
      <c r="E13" s="7" t="s">
        <v>273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274</v>
      </c>
      <c r="D14" s="4" t="str">
        <f aca="false">"SELECT page_id, dependency_page_id, type FROM page_dependency WHERE page_id = '"&amp;ID_S5&amp;"' OR dependency_page_id = '"&amp;ID_S5&amp;"'"</f>
        <v>SELECT page_id, dependency_page_id, type FROM page_dependency WHERE page_id = '&lt;S5_ID&gt;' OR dependency_page_id = '&lt;S5_ID&gt;'</v>
      </c>
      <c r="E14" s="7" t="s">
        <v>275</v>
      </c>
      <c r="F14" s="13"/>
      <c r="G14" s="13"/>
    </row>
    <row r="15" customFormat="false" ht="59.25" hidden="false" customHeight="true" outlineLevel="0" collapsed="false">
      <c r="A15" s="5" t="n">
        <v>8</v>
      </c>
      <c r="B15" s="5" t="s">
        <v>13</v>
      </c>
      <c r="C15" s="7" t="s">
        <v>226</v>
      </c>
      <c r="D15" s="4" t="str">
        <f aca="false">"SELECT page_id, job_type, load_type, status, has_errors, error_details, revision, ingested_at FROM page_audit WHERE page_id IN ('"&amp;ID_S5&amp;"', '"&amp;ID_PA&amp;"') AND ingested_at &gt; TIMESTAMP('"&amp;$C$4&amp;"') ORDER BY ingested_at"</f>
        <v>SELECT page_id, job_type, load_type, status, has_errors, error_details, revision, ingested_at FROM page_audit WHERE page_id IN ('&lt;S5_ID&gt;', '43601') AND ingested_at &gt; TIMESTAMP('&lt;paste start time from step 1&gt;') ORDER BY ingested_at</v>
      </c>
      <c r="E15" s="7" t="str">
        <f aca="false">"Rows for "&amp;ID_S5&amp;" with load_type delete_page and/or purge_content, status = completed. No failed rows."</f>
        <v>Rows for &lt;S5_ID&gt; with load_type delete_page and/or purge_content, status = completed. No failed rows.</v>
      </c>
      <c r="F15" s="13"/>
      <c r="G15" s="13"/>
    </row>
    <row r="16" customFormat="false" ht="45" hidden="false" customHeight="true" outlineLevel="0" collapsed="false">
      <c r="A16" s="5" t="n">
        <v>9</v>
      </c>
      <c r="B16" s="5" t="s">
        <v>155</v>
      </c>
      <c r="C16" s="7" t="s">
        <v>276</v>
      </c>
      <c r="D16" s="4" t="str">
        <f aca="false">"Path: "&amp;GCS_FOLDER&amp;"/"&amp;ID_S5&amp;"/   in buckets "&amp;GCS_JSON&amp;", "&amp;GCS_MD&amp;", "&amp;GCS_HTML</f>
        <v>Path: &lt;FOLDER&gt;/&lt;S5_ID&gt;/   in buckets &lt;JSON_BUCKET&gt;, &lt;MD_BUCKET&gt;, &lt;HTML_BUCKET&gt;</v>
      </c>
      <c r="E16" s="7" t="s">
        <v>277</v>
      </c>
      <c r="F16" s="13"/>
      <c r="G16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278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279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B "&amp;ID_B</f>
        <v>Child B 43607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280</v>
      </c>
      <c r="D9" s="4" t="str">
        <f aca="false">"SELECT page_id, title, path, revision, content_size, summary FROM page WHERE page_id = '"&amp;ID_B&amp;"'"</f>
        <v>SELECT page_id, title, path, revision, content_size, summary FROM page WHERE page_id = '43607'</v>
      </c>
      <c r="E9" s="7" t="s">
        <v>281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155</v>
      </c>
      <c r="C10" s="7" t="s">
        <v>229</v>
      </c>
      <c r="D10" s="4" t="str">
        <f aca="false">"Bucket: "&amp;GCS_MD&amp;"   Path: "&amp;GCS_FOLDER&amp;"/"&amp;ID_B&amp;"/page.md"</f>
        <v>Bucket: &lt;MD_BUCKET&gt;   Path: &lt;FOLDER&gt;/43607/page.md</v>
      </c>
      <c r="E10" s="7" t="str">
        <f aca="false">"BEFORE: click the object → note its crc32c hash in 'Actual result'. Do the same for page.html in "&amp;GCS_HTML&amp;"."</f>
        <v>BEFORE: click the object → note its crc32c hash in 'Actual result'. Do the same for page.html in &lt;HTML_BUCKET&gt;.</v>
      </c>
      <c r="F10" s="13"/>
      <c r="G10" s="13"/>
    </row>
    <row r="11" customFormat="false" ht="45" hidden="false" customHeight="true" outlineLevel="0" collapsed="false">
      <c r="A11" s="5" t="n">
        <v>4</v>
      </c>
      <c r="B11" s="5" t="s">
        <v>158</v>
      </c>
      <c r="C11" s="7" t="s">
        <v>282</v>
      </c>
      <c r="D11" s="4" t="s">
        <v>147</v>
      </c>
      <c r="E11" s="7" t="s">
        <v>283</v>
      </c>
      <c r="F11" s="13"/>
      <c r="G11" s="13"/>
    </row>
    <row r="12" customFormat="false" ht="89.25" hidden="false" customHeight="true" outlineLevel="0" collapsed="false">
      <c r="A12" s="5" t="n">
        <v>5</v>
      </c>
      <c r="B12" s="5" t="s">
        <v>19</v>
      </c>
      <c r="C12" s="7" t="s">
        <v>164</v>
      </c>
      <c r="D12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2" s="7" t="s">
        <v>165</v>
      </c>
      <c r="F12" s="13"/>
      <c r="G12" s="13"/>
    </row>
    <row r="13" customFormat="false" ht="54" hidden="false" customHeight="true" outlineLevel="0" collapsed="false">
      <c r="A13" s="5" t="n">
        <v>6</v>
      </c>
      <c r="B13" s="5" t="s">
        <v>13</v>
      </c>
      <c r="C13" s="7" t="s">
        <v>166</v>
      </c>
      <c r="D13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3" s="7" t="s">
        <v>167</v>
      </c>
      <c r="F13" s="13"/>
      <c r="G13" s="13"/>
    </row>
    <row r="14" customFormat="false" ht="65.25" hidden="false" customHeight="true" outlineLevel="0" collapsed="false">
      <c r="A14" s="5" t="n">
        <v>7</v>
      </c>
      <c r="B14" s="5" t="s">
        <v>13</v>
      </c>
      <c r="C14" s="7" t="s">
        <v>284</v>
      </c>
      <c r="D14" s="4" t="str">
        <f aca="false">"SELECT page_id, title, path, revision, content_size, summary, ingested_at FROM page WHERE page_id = '"&amp;ID_B&amp;"'"</f>
        <v>SELECT page_id, title, path, revision, content_size, summary, ingested_at FROM page WHERE page_id = '43607'</v>
      </c>
      <c r="E14" s="7" t="s">
        <v>285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286</v>
      </c>
      <c r="D15" s="4" t="str">
        <f aca="false">"SELECT dependency_page_id, type FROM page_dependency WHERE page_id = '"&amp;ID_B&amp;"'"</f>
        <v>SELECT dependency_page_id, type FROM page_dependency WHERE page_id = '43607'</v>
      </c>
      <c r="E15" s="7" t="s">
        <v>287</v>
      </c>
      <c r="F15" s="13"/>
      <c r="G15" s="13"/>
    </row>
    <row r="16" customFormat="false" ht="47.25" hidden="false" customHeight="true" outlineLevel="0" collapsed="false">
      <c r="A16" s="5" t="n">
        <v>9</v>
      </c>
      <c r="B16" s="5" t="s">
        <v>13</v>
      </c>
      <c r="C16" s="7" t="s">
        <v>288</v>
      </c>
      <c r="D16" s="4" t="str">
        <f aca="false">"SELECT page_id, dependency_page_id, type, is_broken, is_redirect FROM page_dependency WHERE dependency_page_id = '"&amp;ID_B&amp;"'"</f>
        <v>SELECT page_id, dependency_page_id, type, is_broken, is_redirect FROM page_dependency WHERE dependency_page_id = '43607'</v>
      </c>
      <c r="E16" s="7" t="str">
        <f aca="false">"Rows from Child AA, Child C, Parent B (and QA pages) still point to "&amp;ID_B&amp;" · is_broken = false. Write down is_redirect."</f>
        <v>Rows from Child AA, Child C, Parent B (and QA pages) still point to 43607 · is_broken = false. Write down is_redirect.</v>
      </c>
      <c r="F16" s="13"/>
      <c r="G16" s="13"/>
    </row>
    <row r="17" customFormat="false" ht="57" hidden="false" customHeight="true" outlineLevel="0" collapsed="false">
      <c r="A17" s="5" t="n">
        <v>10</v>
      </c>
      <c r="B17" s="5" t="s">
        <v>13</v>
      </c>
      <c r="C17" s="7" t="s">
        <v>226</v>
      </c>
      <c r="D17" s="4" t="str">
        <f aca="false">"SELECT page_id, job_type, load_type, status, has_errors, error_details, revision, ingested_at FROM page_audit WHERE page_id IN ('"&amp;ID_B&amp;"') AND ingested_at &gt; TIMESTAMP('"&amp;$C$4&amp;"') ORDER BY ingested_at"</f>
        <v>SELECT page_id, job_type, load_type, status, has_errors, error_details, revision, ingested_at FROM page_audit WHERE page_id IN ('43607') AND ingested_at &gt; TIMESTAMP('&lt;paste start time from step 1&gt;') ORDER BY ingested_at</v>
      </c>
      <c r="E17" s="7" t="s">
        <v>257</v>
      </c>
      <c r="F17" s="13"/>
      <c r="G17" s="13"/>
    </row>
    <row r="18" customFormat="false" ht="51.75" hidden="false" customHeight="true" outlineLevel="0" collapsed="false">
      <c r="A18" s="5" t="n">
        <v>11</v>
      </c>
      <c r="B18" s="5" t="s">
        <v>155</v>
      </c>
      <c r="C18" s="7" t="s">
        <v>229</v>
      </c>
      <c r="D18" s="4" t="str">
        <f aca="false">"Bucket: "&amp;GCS_MD&amp;"   Path: "&amp;GCS_FOLDER&amp;"/"&amp;ID_B&amp;"/page.md"</f>
        <v>Bucket: &lt;MD_BUCKET&gt;   Path: &lt;FOLDER&gt;/43607/page.md</v>
      </c>
      <c r="E18" s="7" t="s">
        <v>289</v>
      </c>
      <c r="F18" s="13"/>
      <c r="G18" s="13"/>
    </row>
    <row r="19" customFormat="false" ht="45.75" hidden="false" customHeight="true" outlineLevel="0" collapsed="false">
      <c r="A19" s="5" t="n">
        <v>12</v>
      </c>
      <c r="B19" s="5" t="s">
        <v>155</v>
      </c>
      <c r="C19" s="7" t="s">
        <v>176</v>
      </c>
      <c r="D19" s="4" t="str">
        <f aca="false">"Bucket: "&amp;GCS_JSON&amp;"   Path: "&amp;GCS_FOLDER&amp;"/"&amp;ID_B&amp;"/metadata.json"</f>
        <v>Bucket: &lt;JSON_BUCKET&gt;   Path: &lt;FOLDER&gt;/43607/metadata.json</v>
      </c>
      <c r="E19" s="7" t="s">
        <v>290</v>
      </c>
      <c r="F19" s="13"/>
      <c r="G19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9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291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292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C "&amp;ID_C</f>
        <v>Child C &lt;CHILD_C_ID&gt;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141" hidden="false" customHeight="true" outlineLevel="0" collapsed="false">
      <c r="A9" s="5" t="n">
        <v>2</v>
      </c>
      <c r="B9" s="5" t="s">
        <v>158</v>
      </c>
      <c r="C9" s="7" t="s">
        <v>293</v>
      </c>
      <c r="D9" s="4" t="s">
        <v>147</v>
      </c>
      <c r="E9" s="7" t="s">
        <v>294</v>
      </c>
      <c r="F9" s="13"/>
      <c r="G9" s="13"/>
    </row>
    <row r="10" customFormat="false" ht="89.25" hidden="false" customHeight="true" outlineLevel="0" collapsed="false">
      <c r="A10" s="5" t="n">
        <v>3</v>
      </c>
      <c r="B10" s="5" t="s">
        <v>19</v>
      </c>
      <c r="C10" s="7" t="s">
        <v>164</v>
      </c>
      <c r="D10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0" s="7" t="s">
        <v>165</v>
      </c>
      <c r="F10" s="13"/>
      <c r="G10" s="13"/>
    </row>
    <row r="11" customFormat="false" ht="54" hidden="false" customHeight="true" outlineLevel="0" collapsed="false">
      <c r="A11" s="5" t="n">
        <v>4</v>
      </c>
      <c r="B11" s="5" t="s">
        <v>13</v>
      </c>
      <c r="C11" s="7" t="s">
        <v>166</v>
      </c>
      <c r="D11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1" s="7" t="s">
        <v>167</v>
      </c>
      <c r="F11" s="13"/>
      <c r="G11" s="13"/>
    </row>
    <row r="12" customFormat="false" ht="45" hidden="false" customHeight="true" outlineLevel="0" collapsed="false">
      <c r="A12" s="5" t="n">
        <v>5</v>
      </c>
      <c r="B12" s="5" t="s">
        <v>13</v>
      </c>
      <c r="C12" s="7" t="s">
        <v>295</v>
      </c>
      <c r="D12" s="4" t="str">
        <f aca="false">"SELECT page_id, revision, content_size, date_modified, ingested_at FROM page WHERE page_id = '"&amp;ID_C&amp;"'"</f>
        <v>SELECT page_id, revision, content_size, date_modified, ingested_at FROM page WHERE page_id = '&lt;CHILD_C_ID&gt;'</v>
      </c>
      <c r="E12" s="7" t="s">
        <v>296</v>
      </c>
      <c r="F12" s="13"/>
      <c r="G12" s="13"/>
    </row>
    <row r="13" customFormat="false" ht="46.5" hidden="false" customHeight="true" outlineLevel="0" collapsed="false">
      <c r="A13" s="5" t="n">
        <v>6</v>
      </c>
      <c r="B13" s="5" t="s">
        <v>13</v>
      </c>
      <c r="C13" s="7" t="s">
        <v>297</v>
      </c>
      <c r="D13" s="4" t="str">
        <f aca="false">"SELECT dependency_page_id, type, COUNT(*) AS n FROM page_dependency WHERE page_id = '"&amp;ID_C&amp;"' GROUP BY dependency_page_id, type HAVING COUNT(*) &gt; 1"</f>
        <v>SELECT dependency_page_id, type, COUNT(*) AS n FROM page_dependency WHERE page_id = '&lt;CHILD_C_ID&gt;' GROUP BY dependency_page_id, type HAVING COUNT(*) &gt; 1</v>
      </c>
      <c r="E13" s="7" t="s">
        <v>275</v>
      </c>
      <c r="F13" s="13"/>
      <c r="G13" s="13"/>
    </row>
    <row r="14" customFormat="false" ht="57" hidden="false" customHeight="true" outlineLevel="0" collapsed="false">
      <c r="A14" s="5" t="n">
        <v>7</v>
      </c>
      <c r="B14" s="5" t="s">
        <v>13</v>
      </c>
      <c r="C14" s="7" t="s">
        <v>226</v>
      </c>
      <c r="D14" s="4" t="str">
        <f aca="false">"SELECT page_id, job_type, load_type, status, has_errors, error_details, revision, ingested_at FROM page_audit WHERE page_id IN ('"&amp;ID_C&amp;"') AND ingested_at &gt; TIMESTAMP('"&amp;$C$4&amp;"') ORDER BY ingested_at"</f>
        <v>SELECT page_id, job_type, load_type, status, has_errors, error_details, revision, ingested_at FROM page_audit WHERE page_id IN ('&lt;CHILD_C_ID&gt;') AND ingested_at &gt; TIMESTAMP('&lt;paste start time from step 1&gt;') ORDER BY ingested_at</v>
      </c>
      <c r="E14" s="7" t="s">
        <v>298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155</v>
      </c>
      <c r="C15" s="7" t="s">
        <v>229</v>
      </c>
      <c r="D15" s="4" t="str">
        <f aca="false">"Bucket: "&amp;GCS_MD&amp;"   Path: "&amp;GCS_FOLDER&amp;"/"&amp;ID_C&amp;"/page.md"</f>
        <v>Bucket: &lt;MD_BUCKET&gt;   Path: &lt;FOLDER&gt;/&lt;CHILD_C_ID&gt;/page.md</v>
      </c>
      <c r="E15" s="7" t="s">
        <v>299</v>
      </c>
      <c r="F15" s="13"/>
      <c r="G15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300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301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"Parent B "&amp;ID_PB</f>
        <v>Parent B 43603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  <c r="D4" s="2" t="s">
        <v>302</v>
      </c>
      <c r="E4" s="10" t="s">
        <v>303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304</v>
      </c>
      <c r="D9" s="4" t="str">
        <f aca="false">"SELECT page_id, revision, content_size, revisions FROM page WHERE page_id = '"&amp;ID_PB&amp;"'"</f>
        <v>SELECT page_id, revision, content_size, revisions FROM page WHERE page_id = '43603'</v>
      </c>
      <c r="E9" s="7" t="s">
        <v>305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158</v>
      </c>
      <c r="C10" s="7" t="s">
        <v>306</v>
      </c>
      <c r="D10" s="4" t="s">
        <v>147</v>
      </c>
      <c r="E10" s="7" t="s">
        <v>307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45" hidden="false" customHeight="true" outlineLevel="0" collapsed="false">
      <c r="A13" s="5" t="n">
        <v>6</v>
      </c>
      <c r="B13" s="5" t="s">
        <v>13</v>
      </c>
      <c r="C13" s="7" t="s">
        <v>308</v>
      </c>
      <c r="D13" s="4" t="str">
        <f aca="false">"SELECT page_id, revision, content_size FROM page WHERE page_id = '"&amp;ID_PB&amp;"'"</f>
        <v>SELECT page_id, revision, content_size FROM page WHERE page_id = '43603'</v>
      </c>
      <c r="E13" s="7" t="s">
        <v>309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310</v>
      </c>
      <c r="D14" s="4" t="s">
        <v>311</v>
      </c>
      <c r="E14" s="7" t="s">
        <v>312</v>
      </c>
      <c r="F14" s="13"/>
      <c r="G14" s="13"/>
    </row>
    <row r="15" customFormat="false" ht="48" hidden="false" customHeight="true" outlineLevel="0" collapsed="false">
      <c r="A15" s="5" t="n">
        <v>8</v>
      </c>
      <c r="B15" s="5" t="s">
        <v>158</v>
      </c>
      <c r="C15" s="7" t="s">
        <v>313</v>
      </c>
      <c r="D15" s="4" t="s">
        <v>147</v>
      </c>
      <c r="E15" s="7" t="s">
        <v>314</v>
      </c>
      <c r="F15" s="13"/>
      <c r="G15" s="13"/>
    </row>
    <row r="16" customFormat="false" ht="89.25" hidden="false" customHeight="true" outlineLevel="0" collapsed="false">
      <c r="A16" s="5" t="n">
        <v>9</v>
      </c>
      <c r="B16" s="5" t="s">
        <v>19</v>
      </c>
      <c r="C16" s="7" t="s">
        <v>164</v>
      </c>
      <c r="D16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6" s="7" t="s">
        <v>165</v>
      </c>
      <c r="F16" s="13"/>
      <c r="G16" s="13"/>
    </row>
    <row r="17" customFormat="false" ht="45.75" hidden="false" customHeight="true" outlineLevel="0" collapsed="false">
      <c r="A17" s="5" t="n">
        <v>10</v>
      </c>
      <c r="B17" s="5" t="s">
        <v>13</v>
      </c>
      <c r="C17" s="7" t="s">
        <v>315</v>
      </c>
      <c r="D17" s="4" t="str">
        <f aca="false">"SELECT page_id, status, ingested_at FROM page_since WHERE page_id = '"&amp;ID_ROOT&amp;"' AND ingested_at &gt; TIMESTAMP('"&amp;$E$4&amp;"') ORDER BY ingested_at DESC"</f>
        <v>SELECT page_id, status, ingested_at FROM page_since WHERE page_id = '39960' AND ingested_at &gt; TIMESTAMP('&lt;paste second time&gt;') ORDER BY ingested_at DESC</v>
      </c>
      <c r="E17" s="7" t="s">
        <v>316</v>
      </c>
      <c r="F17" s="13"/>
      <c r="G17" s="13"/>
    </row>
    <row r="18" customFormat="false" ht="81" hidden="false" customHeight="true" outlineLevel="0" collapsed="false">
      <c r="A18" s="5" t="n">
        <v>11</v>
      </c>
      <c r="B18" s="5" t="s">
        <v>13</v>
      </c>
      <c r="C18" s="7" t="s">
        <v>317</v>
      </c>
      <c r="D18" s="4" t="str">
        <f aca="false">"SELECT page_id, revision, content_size, revisions, ingested_at FROM page WHERE page_id = '"&amp;ID_PB&amp;"'"</f>
        <v>SELECT page_id, revision, content_size, revisions, ingested_at FROM page WHERE page_id = '43603'</v>
      </c>
      <c r="E18" s="7" t="s">
        <v>318</v>
      </c>
      <c r="F18" s="13"/>
      <c r="G18" s="13"/>
    </row>
    <row r="19" customFormat="false" ht="45" hidden="false" customHeight="true" outlineLevel="0" collapsed="false">
      <c r="A19" s="5" t="n">
        <v>12</v>
      </c>
      <c r="B19" s="5" t="s">
        <v>13</v>
      </c>
      <c r="C19" s="7" t="s">
        <v>319</v>
      </c>
      <c r="D19" s="4" t="str">
        <f aca="false">"SELECT dependency_page_id, type FROM page_dependency WHERE page_id = '"&amp;ID_PB&amp;"' ORDER BY dependency_page_id"</f>
        <v>SELECT dependency_page_id, type FROM page_dependency WHERE page_id = '43603' ORDER BY dependency_page_id</v>
      </c>
      <c r="E19" s="7" t="s">
        <v>320</v>
      </c>
      <c r="F19" s="13"/>
      <c r="G19" s="13"/>
    </row>
    <row r="20" customFormat="false" ht="45" hidden="false" customHeight="true" outlineLevel="0" collapsed="false">
      <c r="A20" s="5" t="n">
        <v>13</v>
      </c>
      <c r="B20" s="5" t="s">
        <v>155</v>
      </c>
      <c r="C20" s="7" t="s">
        <v>229</v>
      </c>
      <c r="D20" s="4" t="str">
        <f aca="false">"Bucket: "&amp;GCS_MD&amp;"   Path: "&amp;GCS_FOLDER&amp;"/"&amp;ID_PB&amp;"/page.md"</f>
        <v>Bucket: &lt;MD_BUCKET&gt;   Path: &lt;FOLDER&gt;/43603/page.md</v>
      </c>
      <c r="E20" s="7" t="s">
        <v>321</v>
      </c>
      <c r="F20" s="13"/>
      <c r="G20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20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323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C "&amp;ID_C&amp;": moves from Parent B "&amp;ID_PB&amp;" to Parent A "&amp;ID_PA</f>
        <v>Child C &lt;CHILD_C_ID&gt;: moves from Parent B 43603 to Parent A 43601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324</v>
      </c>
      <c r="D9" s="4" t="str">
        <f aca="false">"SELECT page_id, dependency_page_id, type FROM page_dependency WHERE dependency_page_id = '"&amp;ID_C&amp;"' AND type = 'subpage'"</f>
        <v>SELECT page_id, dependency_page_id, type FROM page_dependency WHERE dependency_page_id = '&lt;CHILD_C_ID&gt;' AND type = 'subpage'</v>
      </c>
      <c r="E9" s="7" t="str">
        <f aca="false">"1 row: page_id = "&amp;ID_PB&amp;" (Parent B)."</f>
        <v>1 row: page_id = 43603 (Parent B).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158</v>
      </c>
      <c r="C10" s="7" t="s">
        <v>325</v>
      </c>
      <c r="D10" s="4" t="s">
        <v>147</v>
      </c>
      <c r="E10" s="7" t="s">
        <v>326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46.5" hidden="false" customHeight="true" outlineLevel="0" collapsed="false">
      <c r="A13" s="5" t="n">
        <v>6</v>
      </c>
      <c r="B13" s="5" t="s">
        <v>13</v>
      </c>
      <c r="C13" s="7" t="s">
        <v>327</v>
      </c>
      <c r="D13" s="4" t="str">
        <f aca="false">"SELECT page_id, title, path, revision, ingested_at FROM page WHERE page_id = '"&amp;ID_C&amp;"'"</f>
        <v>SELECT page_id, title, path, revision, ingested_at FROM page WHERE page_id = '&lt;CHILD_C_ID&gt;'</v>
      </c>
      <c r="E13" s="7" t="s">
        <v>328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329</v>
      </c>
      <c r="D14" s="4" t="s">
        <v>330</v>
      </c>
      <c r="E14" s="7" t="s">
        <v>242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331</v>
      </c>
      <c r="D15" s="4" t="str">
        <f aca="false">"SELECT page_id, dependency_page_id, type FROM page_dependency WHERE dependency_page_id = '"&amp;ID_C&amp;"' AND type = 'subpage'"</f>
        <v>SELECT page_id, dependency_page_id, type FROM page_dependency WHERE dependency_page_id = '&lt;CHILD_C_ID&gt;' AND type = 'subpage'</v>
      </c>
      <c r="E15" s="7" t="str">
        <f aca="false">"Exactly 1 row: page_id = "&amp;ID_PA&amp;" (Parent A). NO row with page_id = "&amp;ID_PB&amp;"."</f>
        <v>Exactly 1 row: page_id = 43601 (Parent A). NO row with page_id = 43603.</v>
      </c>
      <c r="F15" s="13"/>
      <c r="G15" s="13"/>
    </row>
    <row r="16" customFormat="false" ht="45" hidden="false" customHeight="true" outlineLevel="0" collapsed="false">
      <c r="A16" s="5" t="n">
        <v>9</v>
      </c>
      <c r="B16" s="5" t="s">
        <v>13</v>
      </c>
      <c r="C16" s="7" t="s">
        <v>332</v>
      </c>
      <c r="D16" s="4" t="str">
        <f aca="false">"SELECT page_id, dependency_page_id, type, is_broken FROM page_dependency WHERE dependency_page_id = '"&amp;ID_C&amp;"' AND type != 'subpage'"</f>
        <v>SELECT page_id, dependency_page_id, type, is_broken FROM page_dependency WHERE dependency_page_id = '&lt;CHILD_C_ID&gt;' AND type != 'subpage'</v>
      </c>
      <c r="E16" s="7" t="str">
        <f aca="false">"Row from QA Multi-Link S15 ("&amp;ID_S15&amp;") still present · is_broken = false."</f>
        <v>Row from QA Multi-Link S15 (&lt;S15_ID&gt;) still present · is_broken = false.</v>
      </c>
      <c r="F16" s="13"/>
      <c r="G16" s="13"/>
    </row>
    <row r="17" customFormat="false" ht="61.5" hidden="false" customHeight="true" outlineLevel="0" collapsed="false">
      <c r="A17" s="5" t="n">
        <v>10</v>
      </c>
      <c r="B17" s="5" t="s">
        <v>13</v>
      </c>
      <c r="C17" s="7" t="s">
        <v>226</v>
      </c>
      <c r="D17" s="4" t="str">
        <f aca="false">"SELECT page_id, job_type, load_type, status, has_errors, error_details, revision, ingested_at FROM page_audit WHERE page_id IN ('"&amp;ID_C&amp;"', '"&amp;ID_PA&amp;"', '"&amp;ID_PB&amp;"') AND ingested_at &gt; TIMESTAMP('"&amp;$C$4&amp;"') ORDER BY ingested_at"</f>
        <v>SELECT page_id, job_type, load_type, status, has_errors, error_details, revision, ingested_at FROM page_audit WHERE page_id IN ('&lt;CHILD_C_ID&gt;', '43601', '43603') AND ingested_at &gt; TIMESTAMP('&lt;paste start time from step 1&gt;') ORDER BY ingested_at</v>
      </c>
      <c r="E17" s="7" t="s">
        <v>333</v>
      </c>
      <c r="F17" s="13"/>
      <c r="G17" s="13"/>
    </row>
    <row r="18" customFormat="false" ht="62.25" hidden="false" customHeight="true" outlineLevel="0" collapsed="false">
      <c r="A18" s="5" t="n">
        <v>11</v>
      </c>
      <c r="B18" s="5" t="s">
        <v>155</v>
      </c>
      <c r="C18" s="7" t="s">
        <v>334</v>
      </c>
      <c r="D18" s="4" t="str">
        <f aca="false">"Path: "&amp;GCS_FOLDER&amp;"/"&amp;ID_C&amp;"/   in buckets "&amp;GCS_JSON&amp;", "&amp;GCS_MD&amp;", "&amp;GCS_HTML</f>
        <v>Path: &lt;FOLDER&gt;/&lt;CHILD_C_ID&gt;/   in buckets &lt;JSON_BUCKET&gt;, &lt;MD_BUCKET&gt;, &lt;HTML_BUCKET&gt;</v>
      </c>
      <c r="E18" s="7" t="str">
        <f aca="false">"Exactly one folder for "&amp;ID_C&amp;" in each bucket, with its file Updated after start time. (Confluence 'failed_pages.json is clean': ask dev where it lives on INT; otherwise N/A.)"</f>
        <v>Exactly one folder for &lt;CHILD_C_ID&gt; in each bucket, with its file Updated after start time. (Confluence 'failed_pages.json is clean': ask dev where it lives on INT; otherwise N/A.)</v>
      </c>
      <c r="F18" s="13"/>
      <c r="G18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8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335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336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B "&amp;ID_B</f>
        <v>Child B 43607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63.75" hidden="false" customHeight="true" outlineLevel="0" collapsed="false">
      <c r="A9" s="5" t="n">
        <v>2</v>
      </c>
      <c r="B9" s="5" t="s">
        <v>158</v>
      </c>
      <c r="C9" s="7" t="s">
        <v>337</v>
      </c>
      <c r="D9" s="4" t="s">
        <v>147</v>
      </c>
      <c r="E9" s="7" t="s">
        <v>338</v>
      </c>
      <c r="F9" s="13"/>
      <c r="G9" s="13"/>
    </row>
    <row r="10" customFormat="false" ht="89.25" hidden="false" customHeight="true" outlineLevel="0" collapsed="false">
      <c r="A10" s="5" t="n">
        <v>3</v>
      </c>
      <c r="B10" s="5" t="s">
        <v>19</v>
      </c>
      <c r="C10" s="7" t="s">
        <v>164</v>
      </c>
      <c r="D10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0" s="7" t="s">
        <v>165</v>
      </c>
      <c r="F10" s="13"/>
      <c r="G10" s="13"/>
    </row>
    <row r="11" customFormat="false" ht="54" hidden="false" customHeight="true" outlineLevel="0" collapsed="false">
      <c r="A11" s="5" t="n">
        <v>4</v>
      </c>
      <c r="B11" s="5" t="s">
        <v>13</v>
      </c>
      <c r="C11" s="7" t="s">
        <v>166</v>
      </c>
      <c r="D11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1" s="7" t="s">
        <v>167</v>
      </c>
      <c r="F11" s="13"/>
      <c r="G11" s="13"/>
    </row>
    <row r="12" customFormat="false" ht="72.75" hidden="false" customHeight="true" outlineLevel="0" collapsed="false">
      <c r="A12" s="5" t="n">
        <v>5</v>
      </c>
      <c r="B12" s="5" t="s">
        <v>13</v>
      </c>
      <c r="C12" s="7" t="s">
        <v>339</v>
      </c>
      <c r="D12" s="4" t="str">
        <f aca="false">"SELECT page_id, revision, ingested_at FROM page WHERE page_id = '"&amp;ID_B&amp;"'"</f>
        <v>SELECT page_id, revision, ingested_at FROM page WHERE page_id = '43607'</v>
      </c>
      <c r="E12" s="7" t="s">
        <v>340</v>
      </c>
      <c r="F12" s="13"/>
      <c r="G12" s="13"/>
    </row>
    <row r="13" customFormat="false" ht="57" hidden="false" customHeight="true" outlineLevel="0" collapsed="false">
      <c r="A13" s="5" t="n">
        <v>6</v>
      </c>
      <c r="B13" s="5" t="s">
        <v>13</v>
      </c>
      <c r="C13" s="7" t="s">
        <v>226</v>
      </c>
      <c r="D13" s="4" t="str">
        <f aca="false">"SELECT page_id, job_type, load_type, status, has_errors, error_details, revision, ingested_at FROM page_audit WHERE page_id IN ('"&amp;ID_B&amp;"') AND ingested_at &gt; TIMESTAMP('"&amp;$C$4&amp;"') ORDER BY ingested_at"</f>
        <v>SELECT page_id, job_type, load_type, status, has_errors, error_details, revision, ingested_at FROM page_audit WHERE page_id IN ('43607') AND ingested_at &gt; TIMESTAMP('&lt;paste start time from step 1&gt;') ORDER BY ingested_at</v>
      </c>
      <c r="E13" s="7" t="s">
        <v>341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155</v>
      </c>
      <c r="C14" s="7" t="s">
        <v>229</v>
      </c>
      <c r="D14" s="4" t="str">
        <f aca="false">"Bucket: "&amp;GCS_MD&amp;"   Path: "&amp;GCS_FOLDER&amp;"/"&amp;ID_B&amp;"/page.md"</f>
        <v>Bucket: &lt;MD_BUCKET&gt;   Path: &lt;FOLDER&gt;/43607/page.md</v>
      </c>
      <c r="E14" s="7" t="s">
        <v>342</v>
      </c>
      <c r="F14" s="13"/>
      <c r="G14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4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343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344</v>
      </c>
      <c r="D2" s="3"/>
      <c r="E2" s="3"/>
      <c r="F2" s="3"/>
      <c r="G2" s="3"/>
    </row>
    <row r="3" customFormat="false" ht="15" hidden="false" customHeight="true" outlineLevel="0" collapsed="false">
      <c r="A3" s="12"/>
      <c r="B3" s="2" t="s">
        <v>87</v>
      </c>
      <c r="C3" s="3" t="s">
        <v>115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158</v>
      </c>
      <c r="C9" s="7" t="s">
        <v>345</v>
      </c>
      <c r="D9" s="4" t="s">
        <v>147</v>
      </c>
      <c r="E9" s="7" t="s">
        <v>147</v>
      </c>
      <c r="F9" s="13"/>
      <c r="G9" s="13"/>
    </row>
    <row r="10" customFormat="false" ht="89.25" hidden="false" customHeight="true" outlineLevel="0" collapsed="false">
      <c r="A10" s="5" t="n">
        <v>3</v>
      </c>
      <c r="B10" s="5" t="s">
        <v>19</v>
      </c>
      <c r="C10" s="7" t="s">
        <v>164</v>
      </c>
      <c r="D10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0" s="7" t="s">
        <v>165</v>
      </c>
      <c r="F10" s="13"/>
      <c r="G10" s="13"/>
    </row>
    <row r="11" customFormat="false" ht="54" hidden="false" customHeight="true" outlineLevel="0" collapsed="false">
      <c r="A11" s="5" t="n">
        <v>4</v>
      </c>
      <c r="B11" s="5" t="s">
        <v>13</v>
      </c>
      <c r="C11" s="7" t="s">
        <v>166</v>
      </c>
      <c r="D11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1" s="7" t="s">
        <v>167</v>
      </c>
      <c r="F11" s="13"/>
      <c r="G11" s="13"/>
    </row>
    <row r="12" customFormat="false" ht="50.25" hidden="false" customHeight="true" outlineLevel="0" collapsed="false">
      <c r="A12" s="5" t="n">
        <v>5</v>
      </c>
      <c r="B12" s="5" t="s">
        <v>13</v>
      </c>
      <c r="C12" s="7" t="s">
        <v>346</v>
      </c>
      <c r="D12" s="4" t="str">
        <f aca="false">"SELECT page_id, title, revision, ingested_at FROM page WHERE path LIKE 'Customer_Vulnerability_Hub_2/Vulnerabilities/Test_Area%' AND ingested_at &gt; TIMESTAMP('"&amp;$C$4&amp;"')"</f>
        <v>SELECT page_id, title, revision, ingested_at FROM page WHERE path LIKE 'Customer_Vulnerability_Hub_2/Vulnerabilities/Test_Area%' AND ingested_at &gt; TIMESTAMP('&lt;paste start time from step 1&gt;')</v>
      </c>
      <c r="E12" s="7" t="s">
        <v>275</v>
      </c>
      <c r="F12" s="13"/>
      <c r="G12" s="13"/>
    </row>
    <row r="13" customFormat="false" ht="61.5" hidden="false" customHeight="true" outlineLevel="0" collapsed="false">
      <c r="A13" s="5" t="n">
        <v>6</v>
      </c>
      <c r="B13" s="5" t="s">
        <v>13</v>
      </c>
      <c r="C13" s="7" t="s">
        <v>347</v>
      </c>
      <c r="D13" s="4" t="str">
        <f aca="false">"SELECT page_id, load_type, status, ingested_at FROM page_audit WHERE page_id IN (SELECT page_id FROM page WHERE path LIKE 'Customer_Vulnerability_Hub_2/Vulnerabilities/Test_Area%') AND ingested_at &gt; T"&amp;"IMESTAMP('"&amp;$C$4&amp;"')"</f>
        <v>SELECT page_id, load_type, status, ingested_at FROM page_audit WHERE page_id IN (SELECT page_id FROM page WHERE path LIKE 'Customer_Vulnerability_Hub_2/Vulnerabilities/Test_Area%') AND ingested_at &gt; TIMESTAMP('&lt;paste start time from step 1&gt;')</v>
      </c>
      <c r="E13" s="7" t="s">
        <v>275</v>
      </c>
      <c r="F13" s="13"/>
      <c r="G13" s="13"/>
    </row>
    <row r="14" customFormat="false" ht="72.75" hidden="false" customHeight="true" outlineLevel="0" collapsed="false">
      <c r="A14" s="5" t="n">
        <v>7</v>
      </c>
      <c r="B14" s="5" t="s">
        <v>13</v>
      </c>
      <c r="C14" s="7" t="s">
        <v>297</v>
      </c>
      <c r="D14" s="4" t="s">
        <v>348</v>
      </c>
      <c r="E14" s="7" t="s">
        <v>275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155</v>
      </c>
      <c r="C15" s="7" t="s">
        <v>229</v>
      </c>
      <c r="D15" s="4" t="str">
        <f aca="false">"Bucket: "&amp;GCS_MD&amp;"   Path: "&amp;GCS_FOLDER&amp;"/"&amp;ID_AA&amp;"/page.md"</f>
        <v>Bucket: &lt;MD_BUCKET&gt;   Path: &lt;FOLDER&gt;/43609/page.md</v>
      </c>
      <c r="E15" s="7" t="s">
        <v>349</v>
      </c>
      <c r="F15" s="13"/>
      <c r="G15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350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351</v>
      </c>
      <c r="D2" s="3"/>
      <c r="E2" s="3"/>
      <c r="F2" s="3"/>
      <c r="G2" s="3"/>
    </row>
    <row r="3" customFormat="false" ht="15" hidden="false" customHeight="true" outlineLevel="0" collapsed="false">
      <c r="A3" s="12"/>
      <c r="B3" s="2" t="s">
        <v>87</v>
      </c>
      <c r="C3" s="3" t="s">
        <v>115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65.25" hidden="false" customHeight="true" outlineLevel="0" collapsed="false">
      <c r="A9" s="5" t="n">
        <v>2</v>
      </c>
      <c r="B9" s="5" t="s">
        <v>158</v>
      </c>
      <c r="C9" s="7" t="str">
        <f aca="false">"Make NO changes. (Optional, only if the dev agrees: force a full reprocess of root 39960 with Bruno 'initial-job' and body {""root_page_ids"": [""39960""]} – this re-tags every Hub 2 page.)"</f>
        <v>Make NO changes. (Optional, only if the dev agrees: force a full reprocess of root 39960 with Bruno 'initial-job' and body {"root_page_ids": ["39960"]} – this re-tags every Hub 2 page.)</v>
      </c>
      <c r="D9" s="4" t="s">
        <v>147</v>
      </c>
      <c r="E9" s="7" t="s">
        <v>147</v>
      </c>
      <c r="F9" s="13"/>
      <c r="G9" s="13"/>
    </row>
    <row r="10" customFormat="false" ht="89.25" hidden="false" customHeight="true" outlineLevel="0" collapsed="false">
      <c r="A10" s="5" t="n">
        <v>3</v>
      </c>
      <c r="B10" s="5" t="s">
        <v>19</v>
      </c>
      <c r="C10" s="7" t="s">
        <v>164</v>
      </c>
      <c r="D10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0" s="7" t="s">
        <v>165</v>
      </c>
      <c r="F10" s="13"/>
      <c r="G10" s="13"/>
    </row>
    <row r="11" customFormat="false" ht="54" hidden="false" customHeight="true" outlineLevel="0" collapsed="false">
      <c r="A11" s="5" t="n">
        <v>4</v>
      </c>
      <c r="B11" s="5" t="s">
        <v>13</v>
      </c>
      <c r="C11" s="7" t="s">
        <v>166</v>
      </c>
      <c r="D11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1" s="7" t="s">
        <v>167</v>
      </c>
      <c r="F11" s="13"/>
      <c r="G11" s="13"/>
    </row>
    <row r="12" customFormat="false" ht="47.25" hidden="false" customHeight="true" outlineLevel="0" collapsed="false">
      <c r="A12" s="5" t="n">
        <v>5</v>
      </c>
      <c r="B12" s="5" t="s">
        <v>13</v>
      </c>
      <c r="C12" s="7" t="s">
        <v>352</v>
      </c>
      <c r="D12" s="4" t="s">
        <v>353</v>
      </c>
      <c r="E12" s="7" t="s">
        <v>275</v>
      </c>
      <c r="F12" s="13"/>
      <c r="G12" s="13"/>
    </row>
    <row r="13" customFormat="false" ht="60" hidden="false" customHeight="true" outlineLevel="0" collapsed="false">
      <c r="A13" s="5" t="n">
        <v>6</v>
      </c>
      <c r="B13" s="5" t="s">
        <v>13</v>
      </c>
      <c r="C13" s="7" t="s">
        <v>354</v>
      </c>
      <c r="D13" s="4" t="s">
        <v>355</v>
      </c>
      <c r="E13" s="7" t="s">
        <v>356</v>
      </c>
      <c r="F13" s="13"/>
      <c r="G13" s="13"/>
    </row>
    <row r="14" customFormat="false" ht="61.5" hidden="false" customHeight="true" outlineLevel="0" collapsed="false">
      <c r="A14" s="5" t="n">
        <v>7</v>
      </c>
      <c r="B14" s="5" t="s">
        <v>13</v>
      </c>
      <c r="C14" s="7" t="s">
        <v>357</v>
      </c>
      <c r="D14" s="4" t="s">
        <v>358</v>
      </c>
      <c r="E14" s="7" t="s">
        <v>359</v>
      </c>
      <c r="F14" s="13"/>
      <c r="G14" s="13"/>
    </row>
    <row r="15" customFormat="false" ht="51" hidden="false" customHeight="true" outlineLevel="0" collapsed="false">
      <c r="A15" s="5" t="n">
        <v>8</v>
      </c>
      <c r="B15" s="5" t="s">
        <v>155</v>
      </c>
      <c r="C15" s="7" t="s">
        <v>360</v>
      </c>
      <c r="D15" s="4" t="str">
        <f aca="false">"Bucket: "&amp;GCS_JSON&amp;"   Path: "&amp;GCS_FOLDER&amp;"/"&amp;ID_AA&amp;"/"</f>
        <v>Bucket: &lt;JSON_BUCKET&gt;   Path: &lt;FOLDER&gt;/43609/</v>
      </c>
      <c r="E15" s="7" t="str">
        <f aca="false">"The folder contains exactly one metadata.json (repeat in "&amp;GCS_MD&amp;" for page.md and "&amp;GCS_HTML&amp;" for page.html) – no extra or old copies."</f>
        <v>The folder contains exactly one metadata.json (repeat in &lt;MD_BUCKET&gt; for page.md and &lt;HTML_BUCKET&gt; for page.html) – no extra or old copies.</v>
      </c>
      <c r="F15" s="13"/>
      <c r="G15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361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362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"QA Link Target S14 "&amp;ID_S14&amp;" (deleted); Parent A "&amp;ID_PA&amp;" links to it"</f>
        <v>QA Link Target S14 &lt;S14_ID&gt; (deleted); Parent A 43601 links to it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363</v>
      </c>
      <c r="D9" s="4" t="str">
        <f aca="false">"SELECT page_id, dependency_page_id, type, is_broken FROM page_dependency WHERE dependency_page_id = '"&amp;ID_S14&amp;"'"</f>
        <v>SELECT page_id, dependency_page_id, type, is_broken FROM page_dependency WHERE dependency_page_id = '&lt;S14_ID&gt;'</v>
      </c>
      <c r="E9" s="7" t="str">
        <f aca="false">"A row with page_id = "&amp;ID_PA&amp;", type = internal."</f>
        <v>A row with page_id = 43601, type = internal.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158</v>
      </c>
      <c r="C10" s="7" t="s">
        <v>364</v>
      </c>
      <c r="D10" s="4" t="s">
        <v>147</v>
      </c>
      <c r="E10" s="7" t="s">
        <v>365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45" hidden="false" customHeight="true" outlineLevel="0" collapsed="false">
      <c r="A13" s="5" t="n">
        <v>6</v>
      </c>
      <c r="B13" s="5" t="s">
        <v>13</v>
      </c>
      <c r="C13" s="7" t="s">
        <v>366</v>
      </c>
      <c r="D13" s="4" t="str">
        <f aca="false">"SELECT COUNT(*) AS n FROM page WHERE page_id = '"&amp;ID_S14&amp;"'"</f>
        <v>SELECT COUNT(*) AS n FROM page WHERE page_id = '&lt;S14_ID&gt;'</v>
      </c>
      <c r="E13" s="7" t="s">
        <v>273</v>
      </c>
      <c r="F13" s="13"/>
      <c r="G13" s="13"/>
    </row>
    <row r="14" customFormat="false" ht="54.75" hidden="false" customHeight="true" outlineLevel="0" collapsed="false">
      <c r="A14" s="5" t="n">
        <v>7</v>
      </c>
      <c r="B14" s="5" t="s">
        <v>13</v>
      </c>
      <c r="C14" s="7" t="s">
        <v>367</v>
      </c>
      <c r="D14" s="4" t="str">
        <f aca="false">"SELECT page_id, dependency_page_id, type, is_broken FROM page_dependency WHERE page_id = '"&amp;ID_S14&amp;"' OR dependency_page_id = '"&amp;ID_S14&amp;"'"</f>
        <v>SELECT page_id, dependency_page_id, type, is_broken FROM page_dependency WHERE page_id = '&lt;S14_ID&gt;' OR dependency_page_id = '&lt;S14_ID&gt;'</v>
      </c>
      <c r="E14" s="7" t="str">
        <f aca="false">"No rows with page_id = "&amp;ID_S14&amp;". If a row "&amp;ID_PA&amp;" → "&amp;ID_S14&amp;" remains it MUST have is_broken = true. is_broken = false → FAIL (stale relationship)."</f>
        <v>No rows with page_id = &lt;S14_ID&gt;. If a row 43601 → &lt;S14_ID&gt; remains it MUST have is_broken = true. is_broken = false → FAIL (stale relationship).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368</v>
      </c>
      <c r="D15" s="4" t="str">
        <f aca="false">"SELECT page_id, title, revision, ingested_at FROM page WHERE page_id = '"&amp;ID_PA&amp;"'"</f>
        <v>SELECT page_id, title, revision, ingested_at FROM page WHERE page_id = '43601'</v>
      </c>
      <c r="E15" s="7" t="s">
        <v>369</v>
      </c>
      <c r="F15" s="13"/>
      <c r="G15" s="13"/>
    </row>
    <row r="16" customFormat="false" ht="59.25" hidden="false" customHeight="true" outlineLevel="0" collapsed="false">
      <c r="A16" s="5" t="n">
        <v>9</v>
      </c>
      <c r="B16" s="5" t="s">
        <v>13</v>
      </c>
      <c r="C16" s="7" t="s">
        <v>226</v>
      </c>
      <c r="D16" s="4" t="str">
        <f aca="false">"SELECT page_id, job_type, load_type, status, has_errors, error_details, revision, ingested_at FROM page_audit WHERE page_id IN ('"&amp;ID_S14&amp;"', '"&amp;ID_PA&amp;"') AND ingested_at &gt; TIMESTAMP('"&amp;$C$4&amp;"') ORDER BY ingested_at"</f>
        <v>SELECT page_id, job_type, load_type, status, has_errors, error_details, revision, ingested_at FROM page_audit WHERE page_id IN ('&lt;S14_ID&gt;', '43601') AND ingested_at &gt; TIMESTAMP('&lt;paste start time from step 1&gt;') ORDER BY ingested_at</v>
      </c>
      <c r="E16" s="7" t="str">
        <f aca="false">ID_S14&amp;": delete_page / purge_content rows, status = completed. "&amp;ID_PA&amp;": repair_inbound row, status = completed. No failed rows."</f>
        <v>&lt;S14_ID&gt;: delete_page / purge_content rows, status = completed. 43601: repair_inbound row, status = completed. No failed rows.</v>
      </c>
      <c r="F16" s="13"/>
      <c r="G16" s="13"/>
    </row>
    <row r="17" customFormat="false" ht="45" hidden="false" customHeight="true" outlineLevel="0" collapsed="false">
      <c r="A17" s="5" t="n">
        <v>10</v>
      </c>
      <c r="B17" s="5" t="s">
        <v>155</v>
      </c>
      <c r="C17" s="7" t="s">
        <v>370</v>
      </c>
      <c r="D17" s="4" t="str">
        <f aca="false">"Path: "&amp;GCS_FOLDER&amp;"/"&amp;ID_S14&amp;"/   in buckets "&amp;GCS_JSON&amp;", "&amp;GCS_MD&amp;", "&amp;GCS_HTML</f>
        <v>Path: &lt;FOLDER&gt;/&lt;S14_ID&gt;/   in buckets &lt;JSON_BUCKET&gt;, &lt;MD_BUCKET&gt;, &lt;HTML_BUCKET&gt;</v>
      </c>
      <c r="E17" s="7" t="s">
        <v>371</v>
      </c>
      <c r="F17" s="13"/>
      <c r="G17" s="13"/>
    </row>
    <row r="18" customFormat="false" ht="45.75" hidden="false" customHeight="true" outlineLevel="0" collapsed="false">
      <c r="A18" s="5" t="n">
        <v>11</v>
      </c>
      <c r="B18" s="5" t="s">
        <v>155</v>
      </c>
      <c r="C18" s="7" t="s">
        <v>176</v>
      </c>
      <c r="D18" s="4" t="str">
        <f aca="false">"Bucket: "&amp;GCS_JSON&amp;"   Path: "&amp;GCS_FOLDER&amp;"/"&amp;ID_PA&amp;"/metadata.json"</f>
        <v>Bucket: &lt;JSON_BUCKET&gt;   Path: &lt;FOLDER&gt;/43601/metadata.json</v>
      </c>
      <c r="E18" s="7" t="s">
        <v>372</v>
      </c>
      <c r="F18" s="13"/>
      <c r="G18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8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373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374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"QA Multi-Link S15 "&amp;ID_S15&amp;": remove Child AA "&amp;ID_AA&amp;", keep Child B "&amp;ID_B&amp;" and Child C "&amp;ID_C&amp;", add Parent B "&amp;ID_PB</f>
        <v>QA Multi-Link S15 &lt;S15_ID&gt;: remove Child AA 43609, keep Child B 43607 and Child C &lt;CHILD_C_ID&gt;, add Parent B 43603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0.25" hidden="false" customHeight="true" outlineLevel="0" collapsed="false">
      <c r="A8" s="5" t="n">
        <v>1</v>
      </c>
      <c r="B8" s="5" t="s">
        <v>13</v>
      </c>
      <c r="C8" s="7" t="s">
        <v>161</v>
      </c>
      <c r="D8" s="4" t="s">
        <v>162</v>
      </c>
      <c r="E8" s="7" t="s">
        <v>163</v>
      </c>
      <c r="F8" s="13"/>
      <c r="G8" s="13"/>
    </row>
    <row r="9" customFormat="false" ht="45" hidden="false" customHeight="true" outlineLevel="0" collapsed="false">
      <c r="A9" s="5" t="n">
        <v>2</v>
      </c>
      <c r="B9" s="5" t="s">
        <v>13</v>
      </c>
      <c r="C9" s="7" t="s">
        <v>375</v>
      </c>
      <c r="D9" s="4" t="str">
        <f aca="false">"SELECT dependency_page_id, type, is_broken FROM page_dependency WHERE page_id = '"&amp;ID_S15&amp;"' ORDER BY dependency_page_id"</f>
        <v>SELECT dependency_page_id, type, is_broken FROM page_dependency WHERE page_id = '&lt;S15_ID&gt;' ORDER BY dependency_page_id</v>
      </c>
      <c r="E9" s="7" t="str">
        <f aca="false">"Contains "&amp;ID_AA&amp;", "&amp;ID_B&amp;", "&amp;ID_C&amp;"."</f>
        <v>Contains 43609, 43607, &lt;CHILD_C_ID&gt;.</v>
      </c>
      <c r="F9" s="13"/>
      <c r="G9" s="13"/>
    </row>
    <row r="10" customFormat="false" ht="55.5" hidden="false" customHeight="true" outlineLevel="0" collapsed="false">
      <c r="A10" s="5" t="n">
        <v>3</v>
      </c>
      <c r="B10" s="5" t="s">
        <v>158</v>
      </c>
      <c r="C10" s="7" t="s">
        <v>376</v>
      </c>
      <c r="D10" s="4" t="s">
        <v>147</v>
      </c>
      <c r="E10" s="7" t="s">
        <v>251</v>
      </c>
      <c r="F10" s="13"/>
      <c r="G10" s="13"/>
    </row>
    <row r="11" customFormat="false" ht="89.25" hidden="false" customHeight="true" outlineLevel="0" collapsed="false">
      <c r="A11" s="5" t="n">
        <v>4</v>
      </c>
      <c r="B11" s="5" t="s">
        <v>19</v>
      </c>
      <c r="C11" s="7" t="s">
        <v>164</v>
      </c>
      <c r="D11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1" s="7" t="s">
        <v>165</v>
      </c>
      <c r="F11" s="13"/>
      <c r="G11" s="13"/>
    </row>
    <row r="12" customFormat="false" ht="54" hidden="false" customHeight="true" outlineLevel="0" collapsed="false">
      <c r="A12" s="5" t="n">
        <v>5</v>
      </c>
      <c r="B12" s="5" t="s">
        <v>13</v>
      </c>
      <c r="C12" s="7" t="s">
        <v>166</v>
      </c>
      <c r="D12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2" s="7" t="s">
        <v>167</v>
      </c>
      <c r="F12" s="13"/>
      <c r="G12" s="13"/>
    </row>
    <row r="13" customFormat="false" ht="57" hidden="false" customHeight="true" outlineLevel="0" collapsed="false">
      <c r="A13" s="5" t="n">
        <v>6</v>
      </c>
      <c r="B13" s="5" t="s">
        <v>13</v>
      </c>
      <c r="C13" s="7" t="s">
        <v>377</v>
      </c>
      <c r="D13" s="4" t="str">
        <f aca="false">"SELECT dependency_page_id, type, relationship_label, is_broken FROM page_dependency WHERE page_id = '"&amp;ID_S15&amp;"' ORDER BY dependency_page_id"</f>
        <v>SELECT dependency_page_id, type, relationship_label, is_broken FROM page_dependency WHERE page_id = '&lt;S15_ID&gt;' ORDER BY dependency_page_id</v>
      </c>
      <c r="E13" s="7" t="str">
        <f aca="false">"Contains "&amp;ID_B&amp;", "&amp;ID_C&amp;", "&amp;ID_PB&amp;". Does NOT contain "&amp;ID_AA&amp;" (if it does → FAIL: stale link). is_broken = false. relationship_label filled for internal links."</f>
        <v>Contains 43607, &lt;CHILD_C_ID&gt;, 43603. Does NOT contain 43609 (if it does → FAIL: stale link). is_broken = false. relationship_label filled for internal links.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378</v>
      </c>
      <c r="D14" s="4" t="str">
        <f aca="false">"SELECT dependency_page_id, COUNT(*) AS n FROM page_dependency WHERE page_id = '"&amp;ID_S15&amp;"' GROUP BY dependency_page_id HAVING COUNT(*) &gt; 1"</f>
        <v>SELECT dependency_page_id, COUNT(*) AS n FROM page_dependency WHERE page_id = '&lt;S15_ID&gt;' GROUP BY dependency_page_id HAVING COUNT(*) &gt; 1</v>
      </c>
      <c r="E14" s="7" t="s">
        <v>275</v>
      </c>
      <c r="F14" s="13"/>
      <c r="G14" s="13"/>
    </row>
    <row r="15" customFormat="false" ht="57" hidden="false" customHeight="true" outlineLevel="0" collapsed="false">
      <c r="A15" s="5" t="n">
        <v>8</v>
      </c>
      <c r="B15" s="5" t="s">
        <v>13</v>
      </c>
      <c r="C15" s="7" t="s">
        <v>226</v>
      </c>
      <c r="D15" s="4" t="str">
        <f aca="false">"SELECT page_id, job_type, load_type, status, has_errors, error_details, revision, ingested_at FROM page_audit WHERE page_id IN ('"&amp;ID_S15&amp;"') AND ingested_at &gt; TIMESTAMP('"&amp;$C$4&amp;"') ORDER BY ingested_at"</f>
        <v>SELECT page_id, job_type, load_type, status, has_errors, error_details, revision, ingested_at FROM page_audit WHERE page_id IN ('&lt;S15_ID&gt;') AND ingested_at &gt; TIMESTAMP('&lt;paste start time from step 1&gt;') ORDER BY ingested_at</v>
      </c>
      <c r="E15" s="7" t="s">
        <v>257</v>
      </c>
      <c r="F15" s="13"/>
      <c r="G15" s="13"/>
    </row>
    <row r="16" customFormat="false" ht="45.75" hidden="false" customHeight="true" outlineLevel="0" collapsed="false">
      <c r="A16" s="5" t="n">
        <v>9</v>
      </c>
      <c r="B16" s="5" t="s">
        <v>155</v>
      </c>
      <c r="C16" s="7" t="s">
        <v>176</v>
      </c>
      <c r="D16" s="4" t="str">
        <f aca="false">"Bucket: "&amp;GCS_JSON&amp;"   Path: "&amp;GCS_FOLDER&amp;"/"&amp;ID_S15&amp;"/metadata.json"</f>
        <v>Bucket: &lt;JSON_BUCKET&gt;   Path: &lt;FOLDER&gt;/&lt;S15_ID&gt;/metadata.json</v>
      </c>
      <c r="E16" s="7" t="str">
        <f aca="false">"Updated after start time; lists "&amp;ID_B&amp;", "&amp;ID_C&amp;", "&amp;ID_PB&amp;" and NOT "&amp;ID_AA&amp;"."</f>
        <v>Updated after start time; lists 43607, &lt;CHILD_C_ID&gt;, 43603 and NOT 43609.</v>
      </c>
      <c r="F16" s="13"/>
      <c r="G16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379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380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B "&amp;ID_B</f>
        <v>Child B 43607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59.25" hidden="false" customHeight="true" outlineLevel="0" collapsed="false">
      <c r="A8" s="5" t="n">
        <v>1</v>
      </c>
      <c r="B8" s="5" t="s">
        <v>145</v>
      </c>
      <c r="C8" s="7" t="s">
        <v>381</v>
      </c>
      <c r="D8" s="4" t="s">
        <v>147</v>
      </c>
      <c r="E8" s="7" t="s">
        <v>382</v>
      </c>
      <c r="F8" s="13"/>
      <c r="G8" s="13"/>
    </row>
    <row r="9" customFormat="false" ht="50.25" hidden="false" customHeight="true" outlineLevel="0" collapsed="false">
      <c r="A9" s="5" t="n">
        <v>2</v>
      </c>
      <c r="B9" s="5" t="s">
        <v>13</v>
      </c>
      <c r="C9" s="7" t="s">
        <v>161</v>
      </c>
      <c r="D9" s="4" t="s">
        <v>162</v>
      </c>
      <c r="E9" s="7" t="s">
        <v>163</v>
      </c>
      <c r="F9" s="13"/>
      <c r="G9" s="13"/>
    </row>
    <row r="10" customFormat="false" ht="45" hidden="false" customHeight="true" outlineLevel="0" collapsed="false">
      <c r="A10" s="5" t="n">
        <v>3</v>
      </c>
      <c r="B10" s="5" t="s">
        <v>13</v>
      </c>
      <c r="C10" s="7" t="s">
        <v>383</v>
      </c>
      <c r="D10" s="4" t="str">
        <f aca="false">"SELECT page_id, title, revision, content_size, ingested_at FROM page WHERE page_id = '"&amp;ID_B&amp;"'"</f>
        <v>SELECT page_id, title, revision, content_size, ingested_at FROM page WHERE page_id = '43607'</v>
      </c>
      <c r="E10" s="7" t="s">
        <v>384</v>
      </c>
      <c r="F10" s="13"/>
      <c r="G10" s="13"/>
    </row>
    <row r="11" customFormat="false" ht="45" hidden="false" customHeight="true" outlineLevel="0" collapsed="false">
      <c r="A11" s="5" t="n">
        <v>4</v>
      </c>
      <c r="B11" s="5" t="s">
        <v>158</v>
      </c>
      <c r="C11" s="7" t="s">
        <v>385</v>
      </c>
      <c r="D11" s="4" t="s">
        <v>147</v>
      </c>
      <c r="E11" s="7" t="s">
        <v>386</v>
      </c>
      <c r="F11" s="13"/>
      <c r="G11" s="13"/>
    </row>
    <row r="12" customFormat="false" ht="89.25" hidden="false" customHeight="true" outlineLevel="0" collapsed="false">
      <c r="A12" s="5" t="n">
        <v>5</v>
      </c>
      <c r="B12" s="5" t="s">
        <v>19</v>
      </c>
      <c r="C12" s="7" t="s">
        <v>164</v>
      </c>
      <c r="D12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2" s="7" t="s">
        <v>165</v>
      </c>
      <c r="F12" s="13"/>
      <c r="G12" s="13"/>
    </row>
    <row r="13" customFormat="false" ht="54" hidden="false" customHeight="true" outlineLevel="0" collapsed="false">
      <c r="A13" s="5" t="n">
        <v>6</v>
      </c>
      <c r="B13" s="5" t="s">
        <v>13</v>
      </c>
      <c r="C13" s="7" t="s">
        <v>166</v>
      </c>
      <c r="D13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3" s="7" t="s">
        <v>167</v>
      </c>
      <c r="F13" s="13"/>
      <c r="G13" s="13"/>
    </row>
    <row r="14" customFormat="false" ht="57" hidden="false" customHeight="true" outlineLevel="0" collapsed="false">
      <c r="A14" s="5" t="n">
        <v>7</v>
      </c>
      <c r="B14" s="5" t="s">
        <v>13</v>
      </c>
      <c r="C14" s="7" t="s">
        <v>387</v>
      </c>
      <c r="D14" s="4" t="str">
        <f aca="false">"SELECT page_id, job_type, load_type, status, has_errors, error_details, revision, ingested_at FROM page_audit WHERE page_id IN ('"&amp;ID_B&amp;"') AND ingested_at &gt; TIMESTAMP('"&amp;$C$4&amp;"') ORDER BY ingested_at"</f>
        <v>SELECT page_id, job_type, load_type, status, has_errors, error_details, revision, ingested_at FROM page_audit WHERE page_id IN ('43607') AND ingested_at &gt; TIMESTAMP('&lt;paste start time from step 1&gt;') ORDER BY ingested_at</v>
      </c>
      <c r="E14" s="7" t="s">
        <v>388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389</v>
      </c>
      <c r="D15" s="4" t="str">
        <f aca="false">"SELECT page_id, title, revision, content_size, ingested_at FROM page WHERE page_id = '"&amp;ID_B&amp;"'"</f>
        <v>SELECT page_id, title, revision, content_size, ingested_at FROM page WHERE page_id = '43607'</v>
      </c>
      <c r="E15" s="7" t="s">
        <v>390</v>
      </c>
      <c r="F15" s="13"/>
      <c r="G15" s="13"/>
    </row>
    <row r="16" customFormat="false" ht="45" hidden="false" customHeight="true" outlineLevel="0" collapsed="false">
      <c r="A16" s="5" t="n">
        <v>9</v>
      </c>
      <c r="B16" s="5" t="s">
        <v>13</v>
      </c>
      <c r="C16" s="7" t="s">
        <v>391</v>
      </c>
      <c r="D16" s="4" t="str">
        <f aca="false">"SELECT page_id, status, watermark_time, ingested_at FROM page_since WHERE page_id = '"&amp;ID_ROOT&amp;"' ORDER BY ingested_at DESC LIMIT 3"</f>
        <v>SELECT page_id, status, watermark_time, ingested_at FROM page_since WHERE page_id = '39960' ORDER BY ingested_at DESC LIMIT 3</v>
      </c>
      <c r="E16" s="7" t="s">
        <v>392</v>
      </c>
      <c r="F16" s="13"/>
      <c r="G16" s="13"/>
    </row>
    <row r="17" customFormat="false" ht="45" hidden="false" customHeight="true" outlineLevel="0" collapsed="false">
      <c r="A17" s="5" t="n">
        <v>10</v>
      </c>
      <c r="B17" s="5" t="s">
        <v>155</v>
      </c>
      <c r="C17" s="7" t="s">
        <v>229</v>
      </c>
      <c r="D17" s="4" t="str">
        <f aca="false">"Bucket: "&amp;GCS_MD&amp;"   Path: "&amp;GCS_FOLDER&amp;"/"&amp;ID_B&amp;"/page.md"</f>
        <v>Bucket: &lt;MD_BUCKET&gt;   Path: &lt;FOLDER&gt;/43607/page.md</v>
      </c>
      <c r="E17" s="7" t="s">
        <v>393</v>
      </c>
      <c r="F17" s="13"/>
      <c r="G17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7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394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2"/>
      <c r="B2" s="2" t="s">
        <v>133</v>
      </c>
      <c r="C2" s="3" t="s">
        <v>395</v>
      </c>
      <c r="D2" s="3"/>
      <c r="E2" s="3"/>
      <c r="F2" s="3"/>
      <c r="G2" s="3"/>
    </row>
    <row r="3" customFormat="false" ht="15" hidden="false" customHeight="false" outlineLevel="0" collapsed="false">
      <c r="A3" s="12"/>
      <c r="B3" s="2" t="s">
        <v>87</v>
      </c>
      <c r="C3" s="3" t="str">
        <f aca="false">"Child B "&amp;ID_B&amp;" (continue directly after S09)"</f>
        <v>Child B 43607 (continue directly after S09)</v>
      </c>
      <c r="D3" s="3"/>
      <c r="E3" s="3"/>
      <c r="F3" s="3"/>
      <c r="G3" s="3"/>
    </row>
    <row r="4" customFormat="false" ht="15" hidden="false" customHeight="false" outlineLevel="0" collapsed="false">
      <c r="A4" s="12"/>
      <c r="B4" s="2" t="s">
        <v>135</v>
      </c>
      <c r="C4" s="10" t="s">
        <v>136</v>
      </c>
    </row>
    <row r="5" customFormat="false" ht="15" hidden="false" customHeight="false" outlineLevel="0" collapsed="false">
      <c r="A5" s="12"/>
      <c r="B5" s="2" t="s">
        <v>137</v>
      </c>
      <c r="C5" s="10" t="s">
        <v>130</v>
      </c>
    </row>
    <row r="7" customFormat="false" ht="15" hidden="false" customHeight="false" outlineLevel="0" collapsed="false">
      <c r="A7" s="6" t="s">
        <v>138</v>
      </c>
      <c r="B7" s="6" t="s">
        <v>139</v>
      </c>
      <c r="C7" s="6" t="s">
        <v>140</v>
      </c>
      <c r="D7" s="6" t="s">
        <v>141</v>
      </c>
      <c r="E7" s="6" t="s">
        <v>142</v>
      </c>
      <c r="F7" s="6" t="s">
        <v>143</v>
      </c>
      <c r="G7" s="6" t="s">
        <v>144</v>
      </c>
    </row>
    <row r="8" customFormat="false" ht="45" hidden="false" customHeight="true" outlineLevel="0" collapsed="false">
      <c r="A8" s="5" t="n">
        <v>1</v>
      </c>
      <c r="B8" s="5" t="s">
        <v>145</v>
      </c>
      <c r="C8" s="7" t="s">
        <v>396</v>
      </c>
      <c r="D8" s="4" t="s">
        <v>147</v>
      </c>
      <c r="E8" s="7" t="s">
        <v>397</v>
      </c>
      <c r="F8" s="13"/>
      <c r="G8" s="13"/>
    </row>
    <row r="9" customFormat="false" ht="50.25" hidden="false" customHeight="true" outlineLevel="0" collapsed="false">
      <c r="A9" s="5" t="n">
        <v>2</v>
      </c>
      <c r="B9" s="5" t="s">
        <v>13</v>
      </c>
      <c r="C9" s="7" t="s">
        <v>161</v>
      </c>
      <c r="D9" s="4" t="s">
        <v>162</v>
      </c>
      <c r="E9" s="7" t="s">
        <v>163</v>
      </c>
      <c r="F9" s="13"/>
      <c r="G9" s="13"/>
    </row>
    <row r="10" customFormat="false" ht="89.25" hidden="false" customHeight="true" outlineLevel="0" collapsed="false">
      <c r="A10" s="5" t="n">
        <v>3</v>
      </c>
      <c r="B10" s="5" t="s">
        <v>19</v>
      </c>
      <c r="C10" s="7" t="s">
        <v>164</v>
      </c>
      <c r="D10" s="4" t="str">
        <f aca="false">"POST "&amp;API_URL&amp;"/api/v1/jobs/incremental   then   GET "&amp;API_URL&amp;"/api/v1/jobs/&lt;job_id&gt;"</f>
        <v>POST &lt;INT_BASE_URL&gt;/api/v1/jobs/incremental   then   GET &lt;INT_BASE_URL&gt;/api/v1/jobs/&lt;job_id&gt;</v>
      </c>
      <c r="E10" s="7" t="s">
        <v>165</v>
      </c>
      <c r="F10" s="13"/>
      <c r="G10" s="13"/>
    </row>
    <row r="11" customFormat="false" ht="54" hidden="false" customHeight="true" outlineLevel="0" collapsed="false">
      <c r="A11" s="5" t="n">
        <v>4</v>
      </c>
      <c r="B11" s="5" t="s">
        <v>13</v>
      </c>
      <c r="C11" s="7" t="s">
        <v>166</v>
      </c>
      <c r="D11" s="4" t="str">
        <f aca="false">"SELECT page_id, job_run_id, status, since_time, watermark_time, ingested_at FROM page_since WHERE page_id = '"&amp;ID_ROOT&amp;"' AND ingested_at &gt; TIMESTAMP('"&amp;$C$4&amp;"') ORDER BY ingested_at DESC"</f>
        <v>SELECT page_id, job_run_id, status, since_time, watermark_time, ingested_at FROM page_since WHERE page_id = '39960' AND ingested_at &gt; TIMESTAMP('&lt;paste start time from step 1&gt;') ORDER BY ingested_at DESC</v>
      </c>
      <c r="E11" s="7" t="s">
        <v>167</v>
      </c>
      <c r="F11" s="13"/>
      <c r="G11" s="13"/>
    </row>
    <row r="12" customFormat="false" ht="45" hidden="false" customHeight="true" outlineLevel="0" collapsed="false">
      <c r="A12" s="5" t="n">
        <v>5</v>
      </c>
      <c r="B12" s="5" t="s">
        <v>13</v>
      </c>
      <c r="C12" s="7" t="s">
        <v>398</v>
      </c>
      <c r="D12" s="4" t="str">
        <f aca="false">"SELECT page_id, revision, content_size, ingested_at FROM page WHERE page_id = '"&amp;ID_B&amp;"'"</f>
        <v>SELECT page_id, revision, content_size, ingested_at FROM page WHERE page_id = '43607'</v>
      </c>
      <c r="E12" s="7" t="s">
        <v>399</v>
      </c>
      <c r="F12" s="13"/>
      <c r="G12" s="13"/>
    </row>
    <row r="13" customFormat="false" ht="48.75" hidden="false" customHeight="true" outlineLevel="0" collapsed="false">
      <c r="A13" s="5" t="n">
        <v>6</v>
      </c>
      <c r="B13" s="5" t="s">
        <v>13</v>
      </c>
      <c r="C13" s="7" t="s">
        <v>400</v>
      </c>
      <c r="D13" s="4" t="str">
        <f aca="false">"SELECT page_id, load_type, status, has_errors, ingested_at FROM page_audit WHERE page_id = '"&amp;ID_B&amp;"' AND ingested_at &gt; TIMESTAMP('"&amp;S09!$C$4&amp;"') ORDER BY ingested_at"</f>
        <v>SELECT page_id, load_type, status, has_errors, ingested_at FROM page_audit WHERE page_id = '43607' AND ingested_at &gt; TIMESTAMP('&lt;paste start time from step 1&gt;') ORDER BY ingested_at</v>
      </c>
      <c r="E13" s="7" t="s">
        <v>401</v>
      </c>
      <c r="F13" s="13"/>
      <c r="G13" s="13"/>
    </row>
    <row r="14" customFormat="false" ht="45" hidden="false" customHeight="true" outlineLevel="0" collapsed="false">
      <c r="A14" s="5" t="n">
        <v>7</v>
      </c>
      <c r="B14" s="5" t="s">
        <v>13</v>
      </c>
      <c r="C14" s="7" t="s">
        <v>402</v>
      </c>
      <c r="D14" s="4" t="str">
        <f aca="false">"SELECT page_id, status, watermark_time, ingested_at FROM page_since WHERE page_id = '"&amp;ID_ROOT&amp;"' ORDER BY ingested_at DESC LIMIT 3"</f>
        <v>SELECT page_id, status, watermark_time, ingested_at FROM page_since WHERE page_id = '39960' ORDER BY ingested_at DESC LIMIT 3</v>
      </c>
      <c r="E14" s="7" t="s">
        <v>403</v>
      </c>
      <c r="F14" s="13"/>
      <c r="G14" s="13"/>
    </row>
    <row r="15" customFormat="false" ht="45" hidden="false" customHeight="true" outlineLevel="0" collapsed="false">
      <c r="A15" s="5" t="n">
        <v>8</v>
      </c>
      <c r="B15" s="5" t="s">
        <v>13</v>
      </c>
      <c r="C15" s="7" t="s">
        <v>404</v>
      </c>
      <c r="D15" s="4" t="str">
        <f aca="false">"SELECT dependency_page_id, type FROM page_dependency WHERE page_id = '"&amp;ID_B&amp;"'"</f>
        <v>SELECT dependency_page_id, type FROM page_dependency WHERE page_id = '43607'</v>
      </c>
      <c r="E15" s="7" t="s">
        <v>405</v>
      </c>
      <c r="F15" s="13"/>
      <c r="G15" s="13"/>
    </row>
    <row r="16" customFormat="false" ht="45" hidden="false" customHeight="true" outlineLevel="0" collapsed="false">
      <c r="A16" s="5" t="n">
        <v>9</v>
      </c>
      <c r="B16" s="5" t="s">
        <v>155</v>
      </c>
      <c r="C16" s="7" t="s">
        <v>229</v>
      </c>
      <c r="D16" s="4" t="str">
        <f aca="false">"Bucket: "&amp;GCS_MD&amp;"   Path: "&amp;GCS_FOLDER&amp;"/"&amp;ID_B&amp;"/page.md"</f>
        <v>Bucket: &lt;MD_BUCKET&gt;   Path: &lt;FOLDER&gt;/43607/page.md</v>
      </c>
      <c r="E16" s="7" t="s">
        <v>406</v>
      </c>
      <c r="F16" s="13"/>
      <c r="G16" s="13"/>
    </row>
  </sheetData>
  <mergeCells count="3">
    <mergeCell ref="A1:G1"/>
    <mergeCell ref="C2:G2"/>
    <mergeCell ref="C3:G3"/>
  </mergeCells>
  <dataValidations count="2">
    <dataValidation allowBlank="true" errorStyle="stop" operator="between" showDropDown="false" showErrorMessage="false" showInputMessage="false" sqref="C5" type="list">
      <formula1>"Not run,Pass,Pass with observation,Fail,Blocked"</formula1>
      <formula2>0</formula2>
    </dataValidation>
    <dataValidation allowBlank="true" errorStyle="stop" operator="between" showDropDown="false" showErrorMessage="false" showInputMessage="false" sqref="G8:G1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5" min="4" style="0" width="3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6" t="s">
        <v>407</v>
      </c>
      <c r="B1" s="6" t="s">
        <v>85</v>
      </c>
      <c r="C1" s="6" t="s">
        <v>408</v>
      </c>
      <c r="D1" s="6" t="s">
        <v>409</v>
      </c>
      <c r="E1" s="6" t="s">
        <v>410</v>
      </c>
      <c r="F1" s="6" t="s">
        <v>411</v>
      </c>
      <c r="G1" s="6" t="s">
        <v>412</v>
      </c>
      <c r="H1" s="6" t="s">
        <v>413</v>
      </c>
    </row>
    <row r="2" customFormat="false" ht="23.85" hidden="false" customHeight="false" outlineLevel="0" collapsed="false">
      <c r="A2" s="7" t="s">
        <v>414</v>
      </c>
      <c r="B2" s="7" t="s">
        <v>90</v>
      </c>
      <c r="C2" s="7" t="s">
        <v>415</v>
      </c>
      <c r="D2" s="7" t="s">
        <v>416</v>
      </c>
      <c r="E2" s="7" t="s">
        <v>417</v>
      </c>
      <c r="F2" s="7" t="s">
        <v>418</v>
      </c>
      <c r="G2" s="7"/>
      <c r="H2" s="7" t="s">
        <v>419</v>
      </c>
    </row>
    <row r="3" customFormat="false" ht="23.85" hidden="false" customHeight="false" outlineLevel="0" collapsed="false">
      <c r="A3" s="7" t="s">
        <v>420</v>
      </c>
      <c r="B3" s="7" t="s">
        <v>90</v>
      </c>
      <c r="C3" s="7" t="s">
        <v>421</v>
      </c>
      <c r="D3" s="7" t="s">
        <v>422</v>
      </c>
      <c r="E3" s="7" t="s">
        <v>417</v>
      </c>
      <c r="F3" s="7" t="s">
        <v>418</v>
      </c>
      <c r="G3" s="7"/>
      <c r="H3" s="7" t="s">
        <v>419</v>
      </c>
    </row>
    <row r="4" customFormat="false" ht="23.85" hidden="false" customHeight="false" outlineLevel="0" collapsed="false">
      <c r="A4" s="7" t="s">
        <v>423</v>
      </c>
      <c r="B4" s="7" t="s">
        <v>118</v>
      </c>
      <c r="C4" s="7" t="s">
        <v>424</v>
      </c>
      <c r="D4" s="7" t="s">
        <v>425</v>
      </c>
      <c r="E4" s="7" t="s">
        <v>417</v>
      </c>
      <c r="F4" s="7" t="s">
        <v>426</v>
      </c>
      <c r="G4" s="7"/>
      <c r="H4" s="7" t="s">
        <v>419</v>
      </c>
    </row>
    <row r="5" customFormat="false" ht="23.85" hidden="false" customHeight="false" outlineLevel="0" collapsed="false">
      <c r="A5" s="7" t="s">
        <v>427</v>
      </c>
      <c r="B5" s="7" t="s">
        <v>90</v>
      </c>
      <c r="C5" s="7" t="s">
        <v>428</v>
      </c>
      <c r="D5" s="7" t="s">
        <v>429</v>
      </c>
      <c r="E5" s="7" t="s">
        <v>417</v>
      </c>
      <c r="F5" s="7" t="s">
        <v>426</v>
      </c>
      <c r="G5" s="7"/>
      <c r="H5" s="7" t="s">
        <v>430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2026-09-29T08:19:35Z</dcterms:created>
  <dc:creator>openpyxl</dc:creator>
  <dc:description/>
  <dc:language>en-US</dc:language>
  <cp:lastModifiedBy/>
  <dcterms:modified xsi:type="dcterms:W3CDTF">2026-09-29T08:19:35Z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